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8_{6C24C2C4-5C9D-4FF9-AF43-B0C57E32FF0E}" xr6:coauthVersionLast="47" xr6:coauthVersionMax="47" xr10:uidLastSave="{00000000-0000-0000-0000-000000000000}"/>
  <bookViews>
    <workbookView xWindow="-108" yWindow="-108" windowWidth="23256" windowHeight="13176" xr2:uid="{023BE5C8-F060-4977-AD09-134329A72570}"/>
  </bookViews>
  <sheets>
    <sheet name="Employee_Data" sheetId="1" r:id="rId1"/>
    <sheet name="Lookup_System" sheetId="2" r:id="rId2"/>
    <sheet name="Analysis" sheetId="3" r:id="rId3"/>
    <sheet name="Dashboard" sheetId="5" r:id="rId4"/>
  </sheet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" i="5" l="1"/>
  <c r="B29" i="5"/>
  <c r="B19" i="5"/>
  <c r="B20" i="5"/>
  <c r="B21" i="5"/>
  <c r="B22" i="5"/>
  <c r="B23" i="5"/>
  <c r="B18" i="5"/>
  <c r="B7" i="3"/>
  <c r="B6" i="3"/>
  <c r="B5" i="3"/>
  <c r="B4" i="3"/>
  <c r="B3" i="3"/>
  <c r="B2" i="3"/>
  <c r="I3" i="2"/>
  <c r="G3" i="2"/>
  <c r="F3" i="2"/>
  <c r="E3" i="2"/>
  <c r="D3" i="2"/>
  <c r="C3" i="2"/>
  <c r="B3" i="2"/>
  <c r="I2" i="1" a="1"/>
  <c r="I2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<sst xmlns="http://schemas.openxmlformats.org/spreadsheetml/2006/main" count="297" uniqueCount="135">
  <si>
    <t>Emp ID</t>
  </si>
  <si>
    <t>Full Name</t>
  </si>
  <si>
    <t>Dept</t>
  </si>
  <si>
    <t>Join Date</t>
  </si>
  <si>
    <t>Salary</t>
  </si>
  <si>
    <t>Status</t>
  </si>
  <si>
    <t>City</t>
  </si>
  <si>
    <t>E001</t>
  </si>
  <si>
    <t>Rahim Hasan</t>
  </si>
  <si>
    <t>Sales</t>
  </si>
  <si>
    <t>Active</t>
  </si>
  <si>
    <t>Dhaka</t>
  </si>
  <si>
    <t>E002</t>
  </si>
  <si>
    <t>Fatima Akter</t>
  </si>
  <si>
    <t>HR</t>
  </si>
  <si>
    <t>Chattogram</t>
  </si>
  <si>
    <t>E003</t>
  </si>
  <si>
    <t>Karim Uddin</t>
  </si>
  <si>
    <t>IT</t>
  </si>
  <si>
    <t>E004</t>
  </si>
  <si>
    <t>Nadia Sultana</t>
  </si>
  <si>
    <t>Khulna</t>
  </si>
  <si>
    <t>E005</t>
  </si>
  <si>
    <t>Sajib Ahmed</t>
  </si>
  <si>
    <t>Production</t>
  </si>
  <si>
    <t>Inactive</t>
  </si>
  <si>
    <t>Rajshahi</t>
  </si>
  <si>
    <t>E006</t>
  </si>
  <si>
    <t>Mitu Rahman</t>
  </si>
  <si>
    <t>Sylhet</t>
  </si>
  <si>
    <t>E007</t>
  </si>
  <si>
    <t>Rafi Islam</t>
  </si>
  <si>
    <t>E008</t>
  </si>
  <si>
    <t>Sonia Noor</t>
  </si>
  <si>
    <t>Barishal</t>
  </si>
  <si>
    <t>E009</t>
  </si>
  <si>
    <t>Hasan Ali</t>
  </si>
  <si>
    <t>Rangpur</t>
  </si>
  <si>
    <t>E010</t>
  </si>
  <si>
    <t>Tania Jahan</t>
  </si>
  <si>
    <t>E011</t>
  </si>
  <si>
    <t>Imran Hossain</t>
  </si>
  <si>
    <t>Finance</t>
  </si>
  <si>
    <t>E012</t>
  </si>
  <si>
    <t>Nusrat Jahan</t>
  </si>
  <si>
    <t>E013</t>
  </si>
  <si>
    <t>Tanvir Ahmed</t>
  </si>
  <si>
    <t>E014</t>
  </si>
  <si>
    <t>Shila Akter</t>
  </si>
  <si>
    <t>Marketing</t>
  </si>
  <si>
    <t>E015</t>
  </si>
  <si>
    <t>Arif Khan</t>
  </si>
  <si>
    <t>E016</t>
  </si>
  <si>
    <t>Mahin Chowdhury</t>
  </si>
  <si>
    <t>E017</t>
  </si>
  <si>
    <t>Rumana Yasmin</t>
  </si>
  <si>
    <t>E018</t>
  </si>
  <si>
    <t>Sohel Rana</t>
  </si>
  <si>
    <t>E019</t>
  </si>
  <si>
    <t>Farzana Rahim</t>
  </si>
  <si>
    <t>E020</t>
  </si>
  <si>
    <t>Shakib Alam</t>
  </si>
  <si>
    <t>E021</t>
  </si>
  <si>
    <t>Md Jewel</t>
  </si>
  <si>
    <t>E022</t>
  </si>
  <si>
    <t>Tasnia Noor</t>
  </si>
  <si>
    <t>E023</t>
  </si>
  <si>
    <t>Anik Das</t>
  </si>
  <si>
    <t>E024</t>
  </si>
  <si>
    <t>Mim Akter</t>
  </si>
  <si>
    <t>E025</t>
  </si>
  <si>
    <t>Nayeem Hasan</t>
  </si>
  <si>
    <t>E026</t>
  </si>
  <si>
    <t>Sadia Islam</t>
  </si>
  <si>
    <t>E027</t>
  </si>
  <si>
    <t>Rubel Mia</t>
  </si>
  <si>
    <t>E028</t>
  </si>
  <si>
    <t>Laboni Saha</t>
  </si>
  <si>
    <t>E029</t>
  </si>
  <si>
    <t>Parvez Hossain</t>
  </si>
  <si>
    <t>E030</t>
  </si>
  <si>
    <t>Ayesha Khan</t>
  </si>
  <si>
    <t>E031</t>
  </si>
  <si>
    <t>Nahid Rahman</t>
  </si>
  <si>
    <t>E032</t>
  </si>
  <si>
    <t>Samira Akter</t>
  </si>
  <si>
    <t>E033</t>
  </si>
  <si>
    <t>Fuad Hasan</t>
  </si>
  <si>
    <t>E034</t>
  </si>
  <si>
    <t>Jannat Noor</t>
  </si>
  <si>
    <t>E035</t>
  </si>
  <si>
    <t>Asif Iqbal</t>
  </si>
  <si>
    <t>E036</t>
  </si>
  <si>
    <t>Sharmin Jahan</t>
  </si>
  <si>
    <t>E037</t>
  </si>
  <si>
    <t>Masud Rana</t>
  </si>
  <si>
    <t>E038</t>
  </si>
  <si>
    <t>Toma Akter</t>
  </si>
  <si>
    <t>E039</t>
  </si>
  <si>
    <t>Helal Uddin</t>
  </si>
  <si>
    <t>E040</t>
  </si>
  <si>
    <t>Priya Das</t>
  </si>
  <si>
    <t>E041</t>
  </si>
  <si>
    <t>Rasel Ahmed</t>
  </si>
  <si>
    <t>E042</t>
  </si>
  <si>
    <t>Nipa Sultana</t>
  </si>
  <si>
    <t>E043</t>
  </si>
  <si>
    <t>Mahmudul Hasan</t>
  </si>
  <si>
    <t>E044</t>
  </si>
  <si>
    <t>Sanjida Noor</t>
  </si>
  <si>
    <t>E045</t>
  </si>
  <si>
    <t>Kamal Hossain</t>
  </si>
  <si>
    <t>E046</t>
  </si>
  <si>
    <t>Shamima Akter</t>
  </si>
  <si>
    <t>E047</t>
  </si>
  <si>
    <t>Tariq Islam</t>
  </si>
  <si>
    <t>E048</t>
  </si>
  <si>
    <t>Ritu Jahan</t>
  </si>
  <si>
    <t>E049</t>
  </si>
  <si>
    <t>Biplob Das</t>
  </si>
  <si>
    <t>E050</t>
  </si>
  <si>
    <t>Morshed Alam</t>
  </si>
  <si>
    <t>Experience</t>
  </si>
  <si>
    <t>Salary Grade</t>
  </si>
  <si>
    <t>Search ID</t>
  </si>
  <si>
    <t>Metric</t>
  </si>
  <si>
    <t>Total Employees</t>
  </si>
  <si>
    <t>Value</t>
  </si>
  <si>
    <t>Active Employees</t>
  </si>
  <si>
    <t>IT Employees</t>
  </si>
  <si>
    <t>Total Salary</t>
  </si>
  <si>
    <t>Avg Salary</t>
  </si>
  <si>
    <t>Highest Salary</t>
  </si>
  <si>
    <t>Count of Full Name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</si>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</sst>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6" formatCode="[$-409]d\-mmm\-yyyy;@"/>
    <numFmt numFmtId="168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2" fillId="2" borderId="0" xfId="0" applyFont="1" applyFill="1"/>
    <xf numFmtId="166" fontId="2" fillId="2" borderId="0" xfId="0" applyNumberFormat="1" applyFont="1" applyFill="1"/>
    <xf numFmtId="168" fontId="2" fillId="2" borderId="0" xfId="1" applyNumberFormat="1" applyFont="1" applyFill="1"/>
    <xf numFmtId="168" fontId="0" fillId="0" borderId="0" xfId="1" applyNumberFormat="1" applyFont="1"/>
    <xf numFmtId="0" fontId="4" fillId="2" borderId="0" xfId="0" applyFont="1" applyFill="1"/>
    <xf numFmtId="14" fontId="4" fillId="2" borderId="0" xfId="0" applyNumberFormat="1" applyFont="1" applyFill="1"/>
    <xf numFmtId="168" fontId="4" fillId="2" borderId="0" xfId="1" applyNumberFormat="1" applyFont="1" applyFill="1"/>
    <xf numFmtId="0" fontId="0" fillId="0" borderId="1" xfId="0" applyBorder="1"/>
    <xf numFmtId="166" fontId="0" fillId="0" borderId="1" xfId="0" applyNumberFormat="1" applyBorder="1"/>
    <xf numFmtId="168" fontId="0" fillId="0" borderId="1" xfId="1" applyNumberFormat="1" applyFont="1" applyBorder="1"/>
    <xf numFmtId="0" fontId="0" fillId="0" borderId="0" xfId="0" pivotButton="1"/>
    <xf numFmtId="0" fontId="3" fillId="3" borderId="2" xfId="0" applyFont="1" applyFill="1" applyBorder="1"/>
    <xf numFmtId="0" fontId="3" fillId="4" borderId="0" xfId="0" applyFont="1" applyFill="1"/>
    <xf numFmtId="0" fontId="0" fillId="5" borderId="0" xfId="0" applyFill="1"/>
    <xf numFmtId="0" fontId="0" fillId="5" borderId="0" xfId="0" applyNumberFormat="1" applyFill="1"/>
    <xf numFmtId="0" fontId="0" fillId="6" borderId="0" xfId="0" applyFill="1"/>
    <xf numFmtId="168" fontId="0" fillId="6" borderId="0" xfId="1" applyNumberFormat="1" applyFont="1" applyFill="1"/>
    <xf numFmtId="0" fontId="0" fillId="7" borderId="1" xfId="0" applyFill="1" applyBorder="1"/>
    <xf numFmtId="168" fontId="0" fillId="7" borderId="1" xfId="0" applyNumberFormat="1" applyFill="1" applyBorder="1"/>
    <xf numFmtId="168" fontId="0" fillId="7" borderId="1" xfId="1" applyNumberFormat="1" applyFont="1" applyFill="1" applyBorder="1"/>
    <xf numFmtId="0" fontId="0" fillId="8" borderId="0" xfId="0" applyFill="1"/>
    <xf numFmtId="14" fontId="0" fillId="8" borderId="0" xfId="0" applyNumberFormat="1" applyFill="1"/>
    <xf numFmtId="168" fontId="0" fillId="8" borderId="0" xfId="1" applyNumberFormat="1" applyFont="1" applyFill="1"/>
  </cellXfs>
  <cellStyles count="2">
    <cellStyle name="Currency" xfId="1" builtinId="4"/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(&quot;$&quot;* #,##0_);_(&quot;$&quot;* \(#,##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-409]d\-mmm\-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[HR_Management_System.xlsx]Dashboard!PivotTable5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Employees by Department (Column Chart)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Dashboard!$A$4:$A$9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Production</c:v>
                </c:pt>
                <c:pt idx="5">
                  <c:v>Sales</c:v>
                </c:pt>
              </c:strCache>
            </c:strRef>
          </c:cat>
          <c:val>
            <c:numRef>
              <c:f>Dashboard!$B$4:$B$9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3-4A09-A876-826AB110E9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7929840"/>
        <c:axId val="1457926960"/>
      </c:barChart>
      <c:catAx>
        <c:axId val="145792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926960"/>
        <c:crosses val="autoZero"/>
        <c:auto val="1"/>
        <c:lblAlgn val="ctr"/>
        <c:lblOffset val="100"/>
        <c:noMultiLvlLbl val="0"/>
      </c:catAx>
      <c:valAx>
        <c:axId val="145792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92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Dashboard!$B$17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Dashboard!$A$18:$A$23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Production</c:v>
                </c:pt>
                <c:pt idx="5">
                  <c:v>Sales</c:v>
                </c:pt>
              </c:strCache>
            </c:strRef>
          </c:cat>
          <c:val>
            <c:numRef>
              <c:f>Dashboard!$B$18:$B$23</c:f>
              <c:numCache>
                <c:formatCode>_("$"* #,##0_);_("$"* \(#,##0\);_("$"* "-"??_);_(@_)</c:formatCode>
                <c:ptCount val="6"/>
                <c:pt idx="0">
                  <c:v>76000</c:v>
                </c:pt>
                <c:pt idx="1">
                  <c:v>66666.666666666672</c:v>
                </c:pt>
                <c:pt idx="2">
                  <c:v>89363.636363636368</c:v>
                </c:pt>
                <c:pt idx="3">
                  <c:v>68400</c:v>
                </c:pt>
                <c:pt idx="4">
                  <c:v>61500</c:v>
                </c:pt>
                <c:pt idx="5">
                  <c:v>65900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B-41B3-8318-CBB4B6C6F3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5192544"/>
        <c:axId val="1395193024"/>
      </c:barChart>
      <c:catAx>
        <c:axId val="139519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193024"/>
        <c:crosses val="autoZero"/>
        <c:auto val="1"/>
        <c:lblAlgn val="ctr"/>
        <c:lblOffset val="100"/>
        <c:noMultiLvlLbl val="0"/>
      </c:catAx>
      <c:valAx>
        <c:axId val="13951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19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</a:t>
            </a:r>
            <a:r>
              <a:rPr lang="en-US" baseline="0"/>
              <a:t> vs Inactive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Dashboard!$A$29:$A$30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Dashboard!$B$29:$B$30</c:f>
              <c:numCache>
                <c:formatCode>General</c:formatCode>
                <c:ptCount val="2"/>
                <c:pt idx="0">
                  <c:v>45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6-43D4-AB8C-4B04D54E4D6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0</xdr:row>
      <xdr:rowOff>7620</xdr:rowOff>
    </xdr:from>
    <xdr:to>
      <xdr:col>7</xdr:col>
      <xdr:colOff>563880</xdr:colOff>
      <xdr:row>12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73815E-7EB3-CD90-EBBA-88149358B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289560</xdr:colOff>
      <xdr:row>13</xdr:row>
      <xdr:rowOff>7620</xdr:rowOff>
    </xdr:from>
    <xdr:to>
      <xdr:col>7</xdr:col>
      <xdr:colOff>563880</xdr:colOff>
      <xdr:row>25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D8C0A0-1516-5B06-900A-091397B64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525780</xdr:colOff>
      <xdr:row>26</xdr:row>
      <xdr:rowOff>160020</xdr:rowOff>
    </xdr:from>
    <xdr:to>
      <xdr:col>7</xdr:col>
      <xdr:colOff>7620</xdr:colOff>
      <xdr:row>36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FA16A8-381E-A668-4C95-DEA1EF1D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f Mahmud" refreshedDate="46144.883163310187" createdVersion="8" refreshedVersion="8" minRefreshableVersion="3" recordCount="50" xr:uid="{0DAB496D-DBA0-49CC-A849-9114A77404C5}">
  <cacheSource type="worksheet">
    <worksheetSource name="EmployeeTable"/>
  </cacheSource>
  <cacheFields count="9">
    <cacheField name="Emp ID" numFmtId="0">
      <sharedItems/>
    </cacheField>
    <cacheField name="Full Name" numFmtId="0">
      <sharedItems/>
    </cacheField>
    <cacheField name="Dept" numFmtId="0">
      <sharedItems count="6">
        <s v="Sales"/>
        <s v="HR"/>
        <s v="IT"/>
        <s v="Production"/>
        <s v="Finance"/>
        <s v="Marketing"/>
      </sharedItems>
    </cacheField>
    <cacheField name="Join Date" numFmtId="166">
      <sharedItems containsSemiMixedTypes="0" containsNonDate="0" containsDate="1" containsString="0" minDate="2015-09-09T00:00:00" maxDate="2023-02-28T00:00:00"/>
    </cacheField>
    <cacheField name="Salary" numFmtId="168">
      <sharedItems containsSemiMixedTypes="0" containsString="0" containsNumber="1" containsInteger="1" minValue="55000" maxValue="97000"/>
    </cacheField>
    <cacheField name="Status" numFmtId="0">
      <sharedItems/>
    </cacheField>
    <cacheField name="City" numFmtId="0">
      <sharedItems/>
    </cacheField>
    <cacheField name="Experience" numFmtId="0">
      <sharedItems containsSemiMixedTypes="0" containsString="0" containsNumber="1" containsInteger="1" minValue="3" maxValue="10"/>
    </cacheField>
    <cacheField name="Salary Gra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E001"/>
    <s v="Rahim Hasan"/>
    <x v="0"/>
    <d v="2019-03-15T00:00:00"/>
    <n v="65000"/>
    <s v="Active"/>
    <s v="Dhaka"/>
    <n v="7"/>
    <s v="Medium"/>
  </r>
  <r>
    <s v="E002"/>
    <s v="Fatima Akter"/>
    <x v="1"/>
    <d v="2018-06-20T00:00:00"/>
    <n v="72000"/>
    <s v="Active"/>
    <s v="Chattogram"/>
    <n v="7"/>
    <s v="Medium"/>
  </r>
  <r>
    <s v="E003"/>
    <s v="Karim Uddin"/>
    <x v="2"/>
    <d v="2020-01-10T00:00:00"/>
    <n v="85000"/>
    <s v="Active"/>
    <s v="Dhaka"/>
    <n v="6"/>
    <s v="High"/>
  </r>
  <r>
    <s v="E004"/>
    <s v="Nadia Sultana"/>
    <x v="0"/>
    <d v="2021-09-05T00:00:00"/>
    <n v="58000"/>
    <s v="Active"/>
    <s v="Khulna"/>
    <n v="4"/>
    <s v="Low"/>
  </r>
  <r>
    <s v="E005"/>
    <s v="Sajib Ahmed"/>
    <x v="3"/>
    <d v="2017-11-12T00:00:00"/>
    <n v="62000"/>
    <s v="Inactive"/>
    <s v="Rajshahi"/>
    <n v="8"/>
    <s v="Low"/>
  </r>
  <r>
    <s v="E006"/>
    <s v="Mitu Rahman"/>
    <x v="1"/>
    <d v="2020-02-28T00:00:00"/>
    <n v="68000"/>
    <s v="Active"/>
    <s v="Sylhet"/>
    <n v="6"/>
    <s v="Medium"/>
  </r>
  <r>
    <s v="E007"/>
    <s v="Rafi Islam"/>
    <x v="2"/>
    <d v="2016-07-19T00:00:00"/>
    <n v="92000"/>
    <s v="Active"/>
    <s v="Dhaka"/>
    <n v="9"/>
    <s v="High"/>
  </r>
  <r>
    <s v="E008"/>
    <s v="Sonia Noor"/>
    <x v="0"/>
    <d v="2019-04-30T00:00:00"/>
    <n v="75000"/>
    <s v="Active"/>
    <s v="Barishal"/>
    <n v="7"/>
    <s v="Medium"/>
  </r>
  <r>
    <s v="E009"/>
    <s v="Hasan Ali"/>
    <x v="3"/>
    <d v="2022-08-22T00:00:00"/>
    <n v="55000"/>
    <s v="Active"/>
    <s v="Rangpur"/>
    <n v="3"/>
    <s v="Low"/>
  </r>
  <r>
    <s v="E010"/>
    <s v="Tania Jahan"/>
    <x v="2"/>
    <d v="2018-05-14T00:00:00"/>
    <n v="88000"/>
    <s v="Active"/>
    <s v="Dhaka"/>
    <n v="7"/>
    <s v="High"/>
  </r>
  <r>
    <s v="E011"/>
    <s v="Imran Hossain"/>
    <x v="4"/>
    <d v="2017-03-09T00:00:00"/>
    <n v="78000"/>
    <s v="Active"/>
    <s v="Chattogram"/>
    <n v="9"/>
    <s v="Medium"/>
  </r>
  <r>
    <s v="E012"/>
    <s v="Nusrat Jahan"/>
    <x v="1"/>
    <d v="2021-10-11T00:00:00"/>
    <n v="60000"/>
    <s v="Active"/>
    <s v="Dhaka"/>
    <n v="4"/>
    <s v="Low"/>
  </r>
  <r>
    <s v="E013"/>
    <s v="Tanvir Ahmed"/>
    <x v="2"/>
    <d v="2019-12-25T00:00:00"/>
    <n v="83000"/>
    <s v="Active"/>
    <s v="Sylhet"/>
    <n v="6"/>
    <s v="Medium"/>
  </r>
  <r>
    <s v="E014"/>
    <s v="Shila Akter"/>
    <x v="5"/>
    <d v="2020-06-16T00:00:00"/>
    <n v="69000"/>
    <s v="Inactive"/>
    <s v="Khulna"/>
    <n v="5"/>
    <s v="Medium"/>
  </r>
  <r>
    <s v="E015"/>
    <s v="Arif Khan"/>
    <x v="0"/>
    <d v="2018-01-08T00:00:00"/>
    <n v="71000"/>
    <s v="Active"/>
    <s v="Dhaka"/>
    <n v="8"/>
    <s v="Medium"/>
  </r>
  <r>
    <s v="E016"/>
    <s v="Mahin Chowdhury"/>
    <x v="3"/>
    <d v="2016-09-27T00:00:00"/>
    <n v="64000"/>
    <s v="Active"/>
    <s v="Rajshahi"/>
    <n v="9"/>
    <s v="Low"/>
  </r>
  <r>
    <s v="E017"/>
    <s v="Rumana Yasmin"/>
    <x v="4"/>
    <d v="2022-02-05T00:00:00"/>
    <n v="73000"/>
    <s v="Active"/>
    <s v="Dhaka"/>
    <n v="4"/>
    <s v="Medium"/>
  </r>
  <r>
    <s v="E018"/>
    <s v="Sohel Rana"/>
    <x v="2"/>
    <d v="2015-11-17T00:00:00"/>
    <n v="95000"/>
    <s v="Active"/>
    <s v="Chattogram"/>
    <n v="10"/>
    <s v="High"/>
  </r>
  <r>
    <s v="E019"/>
    <s v="Farzana Rahim"/>
    <x v="1"/>
    <d v="2019-03-23T00:00:00"/>
    <n v="67000"/>
    <s v="Active"/>
    <s v="Barishal"/>
    <n v="7"/>
    <s v="Medium"/>
  </r>
  <r>
    <s v="E020"/>
    <s v="Shakib Alam"/>
    <x v="5"/>
    <d v="2020-08-12T00:00:00"/>
    <n v="72000"/>
    <s v="Active"/>
    <s v="Dhaka"/>
    <n v="5"/>
    <s v="Medium"/>
  </r>
  <r>
    <s v="E021"/>
    <s v="Md Jewel"/>
    <x v="0"/>
    <d v="2017-05-18T00:00:00"/>
    <n v="61000"/>
    <s v="Inactive"/>
    <s v="Rangpur"/>
    <n v="8"/>
    <s v="Low"/>
  </r>
  <r>
    <s v="E022"/>
    <s v="Tasnia Noor"/>
    <x v="4"/>
    <d v="2021-01-29T00:00:00"/>
    <n v="76000"/>
    <s v="Active"/>
    <s v="Sylhet"/>
    <n v="5"/>
    <s v="Medium"/>
  </r>
  <r>
    <s v="E023"/>
    <s v="Anik Das"/>
    <x v="2"/>
    <d v="2018-04-14T00:00:00"/>
    <n v="87000"/>
    <s v="Active"/>
    <s v="Dhaka"/>
    <n v="8"/>
    <s v="High"/>
  </r>
  <r>
    <s v="E024"/>
    <s v="Mim Akter"/>
    <x v="1"/>
    <d v="2022-07-06T00:00:00"/>
    <n v="59000"/>
    <s v="Active"/>
    <s v="Khulna"/>
    <n v="3"/>
    <s v="Low"/>
  </r>
  <r>
    <s v="E025"/>
    <s v="Nayeem Hasan"/>
    <x v="3"/>
    <d v="2019-10-19T00:00:00"/>
    <n v="63000"/>
    <s v="Active"/>
    <s v="Rajshahi"/>
    <n v="6"/>
    <s v="Low"/>
  </r>
  <r>
    <s v="E026"/>
    <s v="Sadia Islam"/>
    <x v="0"/>
    <d v="2020-12-11T00:00:00"/>
    <n v="70000"/>
    <s v="Active"/>
    <s v="Dhaka"/>
    <n v="5"/>
    <s v="Medium"/>
  </r>
  <r>
    <s v="E027"/>
    <s v="Rubel Mia"/>
    <x v="2"/>
    <d v="2016-06-03T00:00:00"/>
    <n v="91000"/>
    <s v="Active"/>
    <s v="Sylhet"/>
    <n v="9"/>
    <s v="High"/>
  </r>
  <r>
    <s v="E028"/>
    <s v="Laboni Saha"/>
    <x v="4"/>
    <d v="2018-09-22T00:00:00"/>
    <n v="74000"/>
    <s v="Active"/>
    <s v="Barishal"/>
    <n v="7"/>
    <s v="Medium"/>
  </r>
  <r>
    <s v="E029"/>
    <s v="Parvez Hossain"/>
    <x v="5"/>
    <d v="2023-02-07T00:00:00"/>
    <n v="66000"/>
    <s v="Active"/>
    <s v="Rangpur"/>
    <n v="3"/>
    <s v="Medium"/>
  </r>
  <r>
    <s v="E030"/>
    <s v="Ayesha Khan"/>
    <x v="1"/>
    <d v="2017-11-15T00:00:00"/>
    <n v="71000"/>
    <s v="Inactive"/>
    <s v="Dhaka"/>
    <n v="8"/>
    <s v="Medium"/>
  </r>
  <r>
    <s v="E031"/>
    <s v="Nahid Rahman"/>
    <x v="2"/>
    <d v="2020-01-20T00:00:00"/>
    <n v="86000"/>
    <s v="Active"/>
    <s v="Chattogram"/>
    <n v="6"/>
    <s v="High"/>
  </r>
  <r>
    <s v="E032"/>
    <s v="Samira Akter"/>
    <x v="0"/>
    <d v="2021-08-08T00:00:00"/>
    <n v="62000"/>
    <s v="Active"/>
    <s v="Khulna"/>
    <n v="4"/>
    <s v="Low"/>
  </r>
  <r>
    <s v="E033"/>
    <s v="Fuad Hasan"/>
    <x v="3"/>
    <d v="2018-03-17T00:00:00"/>
    <n v="61000"/>
    <s v="Active"/>
    <s v="Dhaka"/>
    <n v="8"/>
    <s v="Low"/>
  </r>
  <r>
    <s v="E034"/>
    <s v="Jannat Noor"/>
    <x v="4"/>
    <d v="2019-06-26T00:00:00"/>
    <n v="77000"/>
    <s v="Active"/>
    <s v="Sylhet"/>
    <n v="6"/>
    <s v="Medium"/>
  </r>
  <r>
    <s v="E035"/>
    <s v="Asif Iqbal"/>
    <x v="2"/>
    <d v="2015-09-09T00:00:00"/>
    <n v="97000"/>
    <s v="Active"/>
    <s v="Dhaka"/>
    <n v="10"/>
    <s v="High"/>
  </r>
  <r>
    <s v="E036"/>
    <s v="Sharmin Jahan"/>
    <x v="1"/>
    <d v="2020-02-12T00:00:00"/>
    <n v="68000"/>
    <s v="Active"/>
    <s v="Chattogram"/>
    <n v="6"/>
    <s v="Medium"/>
  </r>
  <r>
    <s v="E037"/>
    <s v="Masud Rana"/>
    <x v="0"/>
    <d v="2016-05-05T00:00:00"/>
    <n v="64000"/>
    <s v="Active"/>
    <s v="Rajshahi"/>
    <n v="9"/>
    <s v="Low"/>
  </r>
  <r>
    <s v="E038"/>
    <s v="Toma Akter"/>
    <x v="5"/>
    <d v="2022-07-18T00:00:00"/>
    <n v="65000"/>
    <s v="Active"/>
    <s v="Barishal"/>
    <n v="3"/>
    <s v="Medium"/>
  </r>
  <r>
    <s v="E039"/>
    <s v="Helal Uddin"/>
    <x v="3"/>
    <d v="2021-11-24T00:00:00"/>
    <n v="60000"/>
    <s v="Inactive"/>
    <s v="Dhaka"/>
    <n v="4"/>
    <s v="Low"/>
  </r>
  <r>
    <s v="E040"/>
    <s v="Priya Das"/>
    <x v="4"/>
    <d v="2017-03-13T00:00:00"/>
    <n v="79000"/>
    <s v="Active"/>
    <s v="Khulna"/>
    <n v="9"/>
    <s v="Medium"/>
  </r>
  <r>
    <s v="E041"/>
    <s v="Rasel Ahmed"/>
    <x v="2"/>
    <d v="2018-10-30T00:00:00"/>
    <n v="89000"/>
    <s v="Active"/>
    <s v="Dhaka"/>
    <n v="7"/>
    <s v="High"/>
  </r>
  <r>
    <s v="E042"/>
    <s v="Nipa Sultana"/>
    <x v="1"/>
    <d v="2019-04-21T00:00:00"/>
    <n v="66000"/>
    <s v="Active"/>
    <s v="Sylhet"/>
    <n v="7"/>
    <s v="Medium"/>
  </r>
  <r>
    <s v="E043"/>
    <s v="Mahmudul Hasan"/>
    <x v="0"/>
    <d v="2020-06-06T00:00:00"/>
    <n v="72000"/>
    <s v="Active"/>
    <s v="Chattogram"/>
    <n v="5"/>
    <s v="Medium"/>
  </r>
  <r>
    <s v="E044"/>
    <s v="Sanjida Noor"/>
    <x v="5"/>
    <d v="2021-01-28T00:00:00"/>
    <n v="70000"/>
    <s v="Active"/>
    <s v="Dhaka"/>
    <n v="5"/>
    <s v="Medium"/>
  </r>
  <r>
    <s v="E045"/>
    <s v="Kamal Hossain"/>
    <x v="3"/>
    <d v="2016-09-16T00:00:00"/>
    <n v="65000"/>
    <s v="Active"/>
    <s v="Rajshahi"/>
    <n v="9"/>
    <s v="Medium"/>
  </r>
  <r>
    <s v="E046"/>
    <s v="Shamima Akter"/>
    <x v="4"/>
    <d v="2022-12-04T00:00:00"/>
    <n v="75000"/>
    <s v="Active"/>
    <s v="Rangpur"/>
    <n v="3"/>
    <s v="Medium"/>
  </r>
  <r>
    <s v="E047"/>
    <s v="Tariq Islam"/>
    <x v="2"/>
    <d v="2017-07-10T00:00:00"/>
    <n v="90000"/>
    <s v="Active"/>
    <s v="Dhaka"/>
    <n v="8"/>
    <s v="High"/>
  </r>
  <r>
    <s v="E048"/>
    <s v="Ritu Jahan"/>
    <x v="1"/>
    <d v="2018-05-19T00:00:00"/>
    <n v="69000"/>
    <s v="Active"/>
    <s v="Barishal"/>
    <n v="7"/>
    <s v="Medium"/>
  </r>
  <r>
    <s v="E049"/>
    <s v="Biplob Das"/>
    <x v="0"/>
    <d v="2023-02-27T00:00:00"/>
    <n v="61000"/>
    <s v="Active"/>
    <s v="Sylhet"/>
    <n v="3"/>
    <s v="Low"/>
  </r>
  <r>
    <s v="E050"/>
    <s v="Morshed Alam"/>
    <x v="3"/>
    <d v="2019-08-08T00:00:00"/>
    <n v="62000"/>
    <s v="Active"/>
    <s v="Dhaka"/>
    <n v="6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6C9EF-BFFA-44CB-9944-4649EC9E9AC4}" name="PivotTable5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9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4"/>
        <item x="1"/>
        <item x="2"/>
        <item x="5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Full Name" fld="1" subtotal="count" baseField="0" baseItem="0"/>
  </dataFields>
  <formats count="1">
    <format dxfId="5">
      <pivotArea dataOnly="0" outline="0" fieldPosition="0">
        <references count="1">
          <reference field="2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EE516A-B247-4640-9FC1-D8FA0FA7EDD3}" name="EmployeeTable" displayName="EmployeeTable" ref="A1:I51" totalsRowShown="0" headerRowDxfId="23">
  <autoFilter ref="A1:I51" xr:uid="{91EE516A-B247-4640-9FC1-D8FA0FA7EDD3}"/>
  <tableColumns count="9">
    <tableColumn id="1" xr3:uid="{231C368C-4ABF-4200-A445-39C037113889}" name="Emp ID"/>
    <tableColumn id="2" xr3:uid="{861C8C42-9E5B-4A59-B64E-9BFA08AD7F0F}" name="Full Name"/>
    <tableColumn id="3" xr3:uid="{CEDCDB8E-2692-4319-A4A5-F02ACF13F64D}" name="Dept" dataDxfId="22"/>
    <tableColumn id="4" xr3:uid="{521D6D6C-BDC6-4BCE-81AE-6B8353AA2309}" name="Join Date" dataDxfId="21"/>
    <tableColumn id="5" xr3:uid="{FEA7FD96-B53D-4E0F-9D63-E1DD183B2405}" name="Salary" dataDxfId="20" dataCellStyle="Currency"/>
    <tableColumn id="6" xr3:uid="{97FE3D95-BB0B-4609-B8F3-269FFD78A6C1}" name="Status" dataDxfId="19"/>
    <tableColumn id="7" xr3:uid="{F890E7BC-BB91-4A2C-86B8-69E26116397A}" name="City" dataDxfId="18"/>
    <tableColumn id="8" xr3:uid="{2F4688D7-CF1B-4333-9D1C-2D3D986AC142}" name="Experience" dataDxfId="17">
      <calculatedColumnFormula>DATEDIF(EmployeeTable[[#This Row],[Join Date]],TODAY(),"Y")</calculatedColumnFormula>
    </tableColumn>
    <tableColumn id="9" xr3:uid="{B8D5880F-1AF3-4914-9752-F1046240EC2C}" name="Salary Grade" dataDxfId="16">
      <calculatedColumnFormula array="1">_xlfn.IFS(EmployeeTable[[#This Row],[Salary]]&gt;=85000,"High",EmployeeTable[[#This Row],[Salary]]&gt;=65000,"Medium",EmployeeTable[[#This Row],[Salary]]&lt;65000,"Low")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481C-656C-463B-8CC6-8A378D85158F}">
  <dimension ref="A1:I51"/>
  <sheetViews>
    <sheetView tabSelected="1" workbookViewId="0">
      <selection activeCell="P53" sqref="O53:P54"/>
    </sheetView>
  </sheetViews>
  <sheetFormatPr defaultRowHeight="14.4" x14ac:dyDescent="0.3"/>
  <cols>
    <col min="1" max="1" width="8.77734375" customWidth="1"/>
    <col min="2" max="2" width="18.77734375" customWidth="1"/>
    <col min="3" max="3" width="16.88671875" customWidth="1"/>
    <col min="4" max="4" width="15.6640625" style="2" customWidth="1"/>
    <col min="5" max="5" width="12.44140625" style="6" customWidth="1"/>
    <col min="6" max="6" width="8.21875" customWidth="1"/>
    <col min="7" max="7" width="10.44140625" bestFit="1" customWidth="1"/>
    <col min="9" max="9" width="12.8867187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122</v>
      </c>
      <c r="I1" s="3" t="s">
        <v>123</v>
      </c>
    </row>
    <row r="2" spans="1:9" x14ac:dyDescent="0.3">
      <c r="A2" t="s">
        <v>7</v>
      </c>
      <c r="B2" t="s">
        <v>8</v>
      </c>
      <c r="C2" s="10" t="s">
        <v>9</v>
      </c>
      <c r="D2" s="11">
        <v>43539</v>
      </c>
      <c r="E2" s="12">
        <v>65000</v>
      </c>
      <c r="F2" s="10" t="s">
        <v>10</v>
      </c>
      <c r="G2" s="10" t="s">
        <v>11</v>
      </c>
      <c r="H2" s="10">
        <f ca="1">DATEDIF(EmployeeTable[[#This Row],[Join Date]],TODAY(),"Y")</f>
        <v>7</v>
      </c>
      <c r="I2" s="10" t="str" cm="1">
        <f t="array" ref="I2">_xlfn.IFS(EmployeeTable[[#This Row],[Salary]]&gt;=85000,"High",EmployeeTable[[#This Row],[Salary]]&gt;=65000,"Medium",EmployeeTable[[#This Row],[Salary]]&lt;65000,"Low")</f>
        <v>Medium</v>
      </c>
    </row>
    <row r="3" spans="1:9" x14ac:dyDescent="0.3">
      <c r="A3" t="s">
        <v>12</v>
      </c>
      <c r="B3" t="s">
        <v>13</v>
      </c>
      <c r="C3" s="10" t="s">
        <v>14</v>
      </c>
      <c r="D3" s="11">
        <v>43271</v>
      </c>
      <c r="E3" s="12">
        <v>72000</v>
      </c>
      <c r="F3" s="10" t="s">
        <v>10</v>
      </c>
      <c r="G3" s="10" t="s">
        <v>15</v>
      </c>
      <c r="H3" s="10">
        <f ca="1">DATEDIF(EmployeeTable[[#This Row],[Join Date]],TODAY(),"Y")</f>
        <v>7</v>
      </c>
      <c r="I3" s="10" t="str" cm="1">
        <f t="array" ref="I3">_xlfn.IFS(EmployeeTable[[#This Row],[Salary]]&gt;=85000,"High",EmployeeTable[[#This Row],[Salary]]&gt;=65000,"Medium",EmployeeTable[[#This Row],[Salary]]&lt;65000,"Low")</f>
        <v>Medium</v>
      </c>
    </row>
    <row r="4" spans="1:9" x14ac:dyDescent="0.3">
      <c r="A4" t="s">
        <v>16</v>
      </c>
      <c r="B4" t="s">
        <v>17</v>
      </c>
      <c r="C4" s="10" t="s">
        <v>18</v>
      </c>
      <c r="D4" s="11">
        <v>43840</v>
      </c>
      <c r="E4" s="12">
        <v>85000</v>
      </c>
      <c r="F4" s="10" t="s">
        <v>10</v>
      </c>
      <c r="G4" s="10" t="s">
        <v>11</v>
      </c>
      <c r="H4" s="10">
        <f ca="1">DATEDIF(EmployeeTable[[#This Row],[Join Date]],TODAY(),"Y")</f>
        <v>6</v>
      </c>
      <c r="I4" s="10" t="str" cm="1">
        <f t="array" ref="I4">_xlfn.IFS(EmployeeTable[[#This Row],[Salary]]&gt;=85000,"High",EmployeeTable[[#This Row],[Salary]]&gt;=65000,"Medium",EmployeeTable[[#This Row],[Salary]]&lt;65000,"Low")</f>
        <v>High</v>
      </c>
    </row>
    <row r="5" spans="1:9" x14ac:dyDescent="0.3">
      <c r="A5" t="s">
        <v>19</v>
      </c>
      <c r="B5" t="s">
        <v>20</v>
      </c>
      <c r="C5" s="10" t="s">
        <v>9</v>
      </c>
      <c r="D5" s="11">
        <v>44444</v>
      </c>
      <c r="E5" s="12">
        <v>58000</v>
      </c>
      <c r="F5" s="10" t="s">
        <v>10</v>
      </c>
      <c r="G5" s="10" t="s">
        <v>21</v>
      </c>
      <c r="H5" s="10">
        <f ca="1">DATEDIF(EmployeeTable[[#This Row],[Join Date]],TODAY(),"Y")</f>
        <v>4</v>
      </c>
      <c r="I5" s="10" t="str" cm="1">
        <f t="array" ref="I5">_xlfn.IFS(EmployeeTable[[#This Row],[Salary]]&gt;=85000,"High",EmployeeTable[[#This Row],[Salary]]&gt;=65000,"Medium",EmployeeTable[[#This Row],[Salary]]&lt;65000,"Low")</f>
        <v>Low</v>
      </c>
    </row>
    <row r="6" spans="1:9" x14ac:dyDescent="0.3">
      <c r="A6" t="s">
        <v>22</v>
      </c>
      <c r="B6" t="s">
        <v>23</v>
      </c>
      <c r="C6" s="10" t="s">
        <v>24</v>
      </c>
      <c r="D6" s="11">
        <v>43051</v>
      </c>
      <c r="E6" s="12">
        <v>62000</v>
      </c>
      <c r="F6" s="10" t="s">
        <v>25</v>
      </c>
      <c r="G6" s="10" t="s">
        <v>26</v>
      </c>
      <c r="H6" s="10">
        <f ca="1">DATEDIF(EmployeeTable[[#This Row],[Join Date]],TODAY(),"Y")</f>
        <v>8</v>
      </c>
      <c r="I6" s="10" t="str" cm="1">
        <f t="array" ref="I6">_xlfn.IFS(EmployeeTable[[#This Row],[Salary]]&gt;=85000,"High",EmployeeTable[[#This Row],[Salary]]&gt;=65000,"Medium",EmployeeTable[[#This Row],[Salary]]&lt;65000,"Low")</f>
        <v>Low</v>
      </c>
    </row>
    <row r="7" spans="1:9" x14ac:dyDescent="0.3">
      <c r="A7" t="s">
        <v>27</v>
      </c>
      <c r="B7" t="s">
        <v>28</v>
      </c>
      <c r="C7" s="10" t="s">
        <v>14</v>
      </c>
      <c r="D7" s="11">
        <v>43889</v>
      </c>
      <c r="E7" s="12">
        <v>68000</v>
      </c>
      <c r="F7" s="10" t="s">
        <v>10</v>
      </c>
      <c r="G7" s="10" t="s">
        <v>29</v>
      </c>
      <c r="H7" s="10">
        <f ca="1">DATEDIF(EmployeeTable[[#This Row],[Join Date]],TODAY(),"Y")</f>
        <v>6</v>
      </c>
      <c r="I7" s="10" t="str" cm="1">
        <f t="array" ref="I7">_xlfn.IFS(EmployeeTable[[#This Row],[Salary]]&gt;=85000,"High",EmployeeTable[[#This Row],[Salary]]&gt;=65000,"Medium",EmployeeTable[[#This Row],[Salary]]&lt;65000,"Low")</f>
        <v>Medium</v>
      </c>
    </row>
    <row r="8" spans="1:9" x14ac:dyDescent="0.3">
      <c r="A8" t="s">
        <v>30</v>
      </c>
      <c r="B8" t="s">
        <v>31</v>
      </c>
      <c r="C8" s="10" t="s">
        <v>18</v>
      </c>
      <c r="D8" s="11">
        <v>42570</v>
      </c>
      <c r="E8" s="12">
        <v>92000</v>
      </c>
      <c r="F8" s="10" t="s">
        <v>10</v>
      </c>
      <c r="G8" s="10" t="s">
        <v>11</v>
      </c>
      <c r="H8" s="10">
        <f ca="1">DATEDIF(EmployeeTable[[#This Row],[Join Date]],TODAY(),"Y")</f>
        <v>9</v>
      </c>
      <c r="I8" s="10" t="str" cm="1">
        <f t="array" ref="I8">_xlfn.IFS(EmployeeTable[[#This Row],[Salary]]&gt;=85000,"High",EmployeeTable[[#This Row],[Salary]]&gt;=65000,"Medium",EmployeeTable[[#This Row],[Salary]]&lt;65000,"Low")</f>
        <v>High</v>
      </c>
    </row>
    <row r="9" spans="1:9" x14ac:dyDescent="0.3">
      <c r="A9" t="s">
        <v>32</v>
      </c>
      <c r="B9" t="s">
        <v>33</v>
      </c>
      <c r="C9" s="10" t="s">
        <v>9</v>
      </c>
      <c r="D9" s="11">
        <v>43585</v>
      </c>
      <c r="E9" s="12">
        <v>75000</v>
      </c>
      <c r="F9" s="10" t="s">
        <v>10</v>
      </c>
      <c r="G9" s="10" t="s">
        <v>34</v>
      </c>
      <c r="H9" s="10">
        <f ca="1">DATEDIF(EmployeeTable[[#This Row],[Join Date]],TODAY(),"Y")</f>
        <v>7</v>
      </c>
      <c r="I9" s="10" t="str" cm="1">
        <f t="array" ref="I9">_xlfn.IFS(EmployeeTable[[#This Row],[Salary]]&gt;=85000,"High",EmployeeTable[[#This Row],[Salary]]&gt;=65000,"Medium",EmployeeTable[[#This Row],[Salary]]&lt;65000,"Low")</f>
        <v>Medium</v>
      </c>
    </row>
    <row r="10" spans="1:9" x14ac:dyDescent="0.3">
      <c r="A10" t="s">
        <v>35</v>
      </c>
      <c r="B10" t="s">
        <v>36</v>
      </c>
      <c r="C10" s="10" t="s">
        <v>24</v>
      </c>
      <c r="D10" s="11">
        <v>44795</v>
      </c>
      <c r="E10" s="12">
        <v>55000</v>
      </c>
      <c r="F10" s="10" t="s">
        <v>10</v>
      </c>
      <c r="G10" s="10" t="s">
        <v>37</v>
      </c>
      <c r="H10" s="10">
        <f ca="1">DATEDIF(EmployeeTable[[#This Row],[Join Date]],TODAY(),"Y")</f>
        <v>3</v>
      </c>
      <c r="I10" s="10" t="str" cm="1">
        <f t="array" ref="I10">_xlfn.IFS(EmployeeTable[[#This Row],[Salary]]&gt;=85000,"High",EmployeeTable[[#This Row],[Salary]]&gt;=65000,"Medium",EmployeeTable[[#This Row],[Salary]]&lt;65000,"Low")</f>
        <v>Low</v>
      </c>
    </row>
    <row r="11" spans="1:9" x14ac:dyDescent="0.3">
      <c r="A11" t="s">
        <v>38</v>
      </c>
      <c r="B11" t="s">
        <v>39</v>
      </c>
      <c r="C11" s="10" t="s">
        <v>18</v>
      </c>
      <c r="D11" s="11">
        <v>43234</v>
      </c>
      <c r="E11" s="12">
        <v>88000</v>
      </c>
      <c r="F11" s="10" t="s">
        <v>10</v>
      </c>
      <c r="G11" s="10" t="s">
        <v>11</v>
      </c>
      <c r="H11" s="10">
        <f ca="1">DATEDIF(EmployeeTable[[#This Row],[Join Date]],TODAY(),"Y")</f>
        <v>7</v>
      </c>
      <c r="I11" s="10" t="str" cm="1">
        <f t="array" ref="I11">_xlfn.IFS(EmployeeTable[[#This Row],[Salary]]&gt;=85000,"High",EmployeeTable[[#This Row],[Salary]]&gt;=65000,"Medium",EmployeeTable[[#This Row],[Salary]]&lt;65000,"Low")</f>
        <v>High</v>
      </c>
    </row>
    <row r="12" spans="1:9" x14ac:dyDescent="0.3">
      <c r="A12" t="s">
        <v>40</v>
      </c>
      <c r="B12" t="s">
        <v>41</v>
      </c>
      <c r="C12" s="10" t="s">
        <v>42</v>
      </c>
      <c r="D12" s="11">
        <v>42803</v>
      </c>
      <c r="E12" s="12">
        <v>78000</v>
      </c>
      <c r="F12" s="10" t="s">
        <v>10</v>
      </c>
      <c r="G12" s="10" t="s">
        <v>15</v>
      </c>
      <c r="H12" s="10">
        <f ca="1">DATEDIF(EmployeeTable[[#This Row],[Join Date]],TODAY(),"Y")</f>
        <v>9</v>
      </c>
      <c r="I12" s="10" t="str" cm="1">
        <f t="array" ref="I12">_xlfn.IFS(EmployeeTable[[#This Row],[Salary]]&gt;=85000,"High",EmployeeTable[[#This Row],[Salary]]&gt;=65000,"Medium",EmployeeTable[[#This Row],[Salary]]&lt;65000,"Low")</f>
        <v>Medium</v>
      </c>
    </row>
    <row r="13" spans="1:9" x14ac:dyDescent="0.3">
      <c r="A13" t="s">
        <v>43</v>
      </c>
      <c r="B13" t="s">
        <v>44</v>
      </c>
      <c r="C13" s="10" t="s">
        <v>14</v>
      </c>
      <c r="D13" s="11">
        <v>44480</v>
      </c>
      <c r="E13" s="12">
        <v>60000</v>
      </c>
      <c r="F13" s="10" t="s">
        <v>10</v>
      </c>
      <c r="G13" s="10" t="s">
        <v>11</v>
      </c>
      <c r="H13" s="10">
        <f ca="1">DATEDIF(EmployeeTable[[#This Row],[Join Date]],TODAY(),"Y")</f>
        <v>4</v>
      </c>
      <c r="I13" s="10" t="str" cm="1">
        <f t="array" ref="I13">_xlfn.IFS(EmployeeTable[[#This Row],[Salary]]&gt;=85000,"High",EmployeeTable[[#This Row],[Salary]]&gt;=65000,"Medium",EmployeeTable[[#This Row],[Salary]]&lt;65000,"Low")</f>
        <v>Low</v>
      </c>
    </row>
    <row r="14" spans="1:9" x14ac:dyDescent="0.3">
      <c r="A14" t="s">
        <v>45</v>
      </c>
      <c r="B14" t="s">
        <v>46</v>
      </c>
      <c r="C14" s="10" t="s">
        <v>18</v>
      </c>
      <c r="D14" s="11">
        <v>43824</v>
      </c>
      <c r="E14" s="12">
        <v>83000</v>
      </c>
      <c r="F14" s="10" t="s">
        <v>10</v>
      </c>
      <c r="G14" s="10" t="s">
        <v>29</v>
      </c>
      <c r="H14" s="10">
        <f ca="1">DATEDIF(EmployeeTable[[#This Row],[Join Date]],TODAY(),"Y")</f>
        <v>6</v>
      </c>
      <c r="I14" s="10" t="str" cm="1">
        <f t="array" ref="I14">_xlfn.IFS(EmployeeTable[[#This Row],[Salary]]&gt;=85000,"High",EmployeeTable[[#This Row],[Salary]]&gt;=65000,"Medium",EmployeeTable[[#This Row],[Salary]]&lt;65000,"Low")</f>
        <v>Medium</v>
      </c>
    </row>
    <row r="15" spans="1:9" x14ac:dyDescent="0.3">
      <c r="A15" t="s">
        <v>47</v>
      </c>
      <c r="B15" t="s">
        <v>48</v>
      </c>
      <c r="C15" s="10" t="s">
        <v>49</v>
      </c>
      <c r="D15" s="11">
        <v>43998</v>
      </c>
      <c r="E15" s="12">
        <v>69000</v>
      </c>
      <c r="F15" s="10" t="s">
        <v>25</v>
      </c>
      <c r="G15" s="10" t="s">
        <v>21</v>
      </c>
      <c r="H15" s="10">
        <f ca="1">DATEDIF(EmployeeTable[[#This Row],[Join Date]],TODAY(),"Y")</f>
        <v>5</v>
      </c>
      <c r="I15" s="10" t="str" cm="1">
        <f t="array" ref="I15">_xlfn.IFS(EmployeeTable[[#This Row],[Salary]]&gt;=85000,"High",EmployeeTable[[#This Row],[Salary]]&gt;=65000,"Medium",EmployeeTable[[#This Row],[Salary]]&lt;65000,"Low")</f>
        <v>Medium</v>
      </c>
    </row>
    <row r="16" spans="1:9" x14ac:dyDescent="0.3">
      <c r="A16" t="s">
        <v>50</v>
      </c>
      <c r="B16" t="s">
        <v>51</v>
      </c>
      <c r="C16" s="10" t="s">
        <v>9</v>
      </c>
      <c r="D16" s="11">
        <v>43108</v>
      </c>
      <c r="E16" s="12">
        <v>71000</v>
      </c>
      <c r="F16" s="10" t="s">
        <v>10</v>
      </c>
      <c r="G16" s="10" t="s">
        <v>11</v>
      </c>
      <c r="H16" s="10">
        <f ca="1">DATEDIF(EmployeeTable[[#This Row],[Join Date]],TODAY(),"Y")</f>
        <v>8</v>
      </c>
      <c r="I16" s="10" t="str" cm="1">
        <f t="array" ref="I16">_xlfn.IFS(EmployeeTable[[#This Row],[Salary]]&gt;=85000,"High",EmployeeTable[[#This Row],[Salary]]&gt;=65000,"Medium",EmployeeTable[[#This Row],[Salary]]&lt;65000,"Low")</f>
        <v>Medium</v>
      </c>
    </row>
    <row r="17" spans="1:9" x14ac:dyDescent="0.3">
      <c r="A17" t="s">
        <v>52</v>
      </c>
      <c r="B17" t="s">
        <v>53</v>
      </c>
      <c r="C17" s="10" t="s">
        <v>24</v>
      </c>
      <c r="D17" s="11">
        <v>42640</v>
      </c>
      <c r="E17" s="12">
        <v>64000</v>
      </c>
      <c r="F17" s="10" t="s">
        <v>10</v>
      </c>
      <c r="G17" s="10" t="s">
        <v>26</v>
      </c>
      <c r="H17" s="10">
        <f ca="1">DATEDIF(EmployeeTable[[#This Row],[Join Date]],TODAY(),"Y")</f>
        <v>9</v>
      </c>
      <c r="I17" s="10" t="str" cm="1">
        <f t="array" ref="I17">_xlfn.IFS(EmployeeTable[[#This Row],[Salary]]&gt;=85000,"High",EmployeeTable[[#This Row],[Salary]]&gt;=65000,"Medium",EmployeeTable[[#This Row],[Salary]]&lt;65000,"Low")</f>
        <v>Low</v>
      </c>
    </row>
    <row r="18" spans="1:9" x14ac:dyDescent="0.3">
      <c r="A18" t="s">
        <v>54</v>
      </c>
      <c r="B18" t="s">
        <v>55</v>
      </c>
      <c r="C18" s="10" t="s">
        <v>42</v>
      </c>
      <c r="D18" s="11">
        <v>44597</v>
      </c>
      <c r="E18" s="12">
        <v>73000</v>
      </c>
      <c r="F18" s="10" t="s">
        <v>10</v>
      </c>
      <c r="G18" s="10" t="s">
        <v>11</v>
      </c>
      <c r="H18" s="10">
        <f ca="1">DATEDIF(EmployeeTable[[#This Row],[Join Date]],TODAY(),"Y")</f>
        <v>4</v>
      </c>
      <c r="I18" s="10" t="str" cm="1">
        <f t="array" ref="I18">_xlfn.IFS(EmployeeTable[[#This Row],[Salary]]&gt;=85000,"High",EmployeeTable[[#This Row],[Salary]]&gt;=65000,"Medium",EmployeeTable[[#This Row],[Salary]]&lt;65000,"Low")</f>
        <v>Medium</v>
      </c>
    </row>
    <row r="19" spans="1:9" x14ac:dyDescent="0.3">
      <c r="A19" t="s">
        <v>56</v>
      </c>
      <c r="B19" t="s">
        <v>57</v>
      </c>
      <c r="C19" s="10" t="s">
        <v>18</v>
      </c>
      <c r="D19" s="11">
        <v>42325</v>
      </c>
      <c r="E19" s="12">
        <v>95000</v>
      </c>
      <c r="F19" s="10" t="s">
        <v>10</v>
      </c>
      <c r="G19" s="10" t="s">
        <v>15</v>
      </c>
      <c r="H19" s="10">
        <f ca="1">DATEDIF(EmployeeTable[[#This Row],[Join Date]],TODAY(),"Y")</f>
        <v>10</v>
      </c>
      <c r="I19" s="10" t="str" cm="1">
        <f t="array" ref="I19">_xlfn.IFS(EmployeeTable[[#This Row],[Salary]]&gt;=85000,"High",EmployeeTable[[#This Row],[Salary]]&gt;=65000,"Medium",EmployeeTable[[#This Row],[Salary]]&lt;65000,"Low")</f>
        <v>High</v>
      </c>
    </row>
    <row r="20" spans="1:9" x14ac:dyDescent="0.3">
      <c r="A20" t="s">
        <v>58</v>
      </c>
      <c r="B20" t="s">
        <v>59</v>
      </c>
      <c r="C20" s="10" t="s">
        <v>14</v>
      </c>
      <c r="D20" s="11">
        <v>43547</v>
      </c>
      <c r="E20" s="12">
        <v>67000</v>
      </c>
      <c r="F20" s="10" t="s">
        <v>10</v>
      </c>
      <c r="G20" s="10" t="s">
        <v>34</v>
      </c>
      <c r="H20" s="10">
        <f ca="1">DATEDIF(EmployeeTable[[#This Row],[Join Date]],TODAY(),"Y")</f>
        <v>7</v>
      </c>
      <c r="I20" s="10" t="str" cm="1">
        <f t="array" ref="I20">_xlfn.IFS(EmployeeTable[[#This Row],[Salary]]&gt;=85000,"High",EmployeeTable[[#This Row],[Salary]]&gt;=65000,"Medium",EmployeeTable[[#This Row],[Salary]]&lt;65000,"Low")</f>
        <v>Medium</v>
      </c>
    </row>
    <row r="21" spans="1:9" x14ac:dyDescent="0.3">
      <c r="A21" t="s">
        <v>60</v>
      </c>
      <c r="B21" t="s">
        <v>61</v>
      </c>
      <c r="C21" s="10" t="s">
        <v>49</v>
      </c>
      <c r="D21" s="11">
        <v>44055</v>
      </c>
      <c r="E21" s="12">
        <v>72000</v>
      </c>
      <c r="F21" s="10" t="s">
        <v>10</v>
      </c>
      <c r="G21" s="10" t="s">
        <v>11</v>
      </c>
      <c r="H21" s="10">
        <f ca="1">DATEDIF(EmployeeTable[[#This Row],[Join Date]],TODAY(),"Y")</f>
        <v>5</v>
      </c>
      <c r="I21" s="10" t="str" cm="1">
        <f t="array" ref="I21">_xlfn.IFS(EmployeeTable[[#This Row],[Salary]]&gt;=85000,"High",EmployeeTable[[#This Row],[Salary]]&gt;=65000,"Medium",EmployeeTable[[#This Row],[Salary]]&lt;65000,"Low")</f>
        <v>Medium</v>
      </c>
    </row>
    <row r="22" spans="1:9" x14ac:dyDescent="0.3">
      <c r="A22" t="s">
        <v>62</v>
      </c>
      <c r="B22" t="s">
        <v>63</v>
      </c>
      <c r="C22" s="10" t="s">
        <v>9</v>
      </c>
      <c r="D22" s="11">
        <v>42873</v>
      </c>
      <c r="E22" s="12">
        <v>61000</v>
      </c>
      <c r="F22" s="10" t="s">
        <v>25</v>
      </c>
      <c r="G22" s="10" t="s">
        <v>37</v>
      </c>
      <c r="H22" s="10">
        <f ca="1">DATEDIF(EmployeeTable[[#This Row],[Join Date]],TODAY(),"Y")</f>
        <v>8</v>
      </c>
      <c r="I22" s="10" t="str" cm="1">
        <f t="array" ref="I22">_xlfn.IFS(EmployeeTable[[#This Row],[Salary]]&gt;=85000,"High",EmployeeTable[[#This Row],[Salary]]&gt;=65000,"Medium",EmployeeTable[[#This Row],[Salary]]&lt;65000,"Low")</f>
        <v>Low</v>
      </c>
    </row>
    <row r="23" spans="1:9" x14ac:dyDescent="0.3">
      <c r="A23" t="s">
        <v>64</v>
      </c>
      <c r="B23" t="s">
        <v>65</v>
      </c>
      <c r="C23" s="10" t="s">
        <v>42</v>
      </c>
      <c r="D23" s="11">
        <v>44225</v>
      </c>
      <c r="E23" s="12">
        <v>76000</v>
      </c>
      <c r="F23" s="10" t="s">
        <v>10</v>
      </c>
      <c r="G23" s="10" t="s">
        <v>29</v>
      </c>
      <c r="H23" s="10">
        <f ca="1">DATEDIF(EmployeeTable[[#This Row],[Join Date]],TODAY(),"Y")</f>
        <v>5</v>
      </c>
      <c r="I23" s="10" t="str" cm="1">
        <f t="array" ref="I23">_xlfn.IFS(EmployeeTable[[#This Row],[Salary]]&gt;=85000,"High",EmployeeTable[[#This Row],[Salary]]&gt;=65000,"Medium",EmployeeTable[[#This Row],[Salary]]&lt;65000,"Low")</f>
        <v>Medium</v>
      </c>
    </row>
    <row r="24" spans="1:9" x14ac:dyDescent="0.3">
      <c r="A24" t="s">
        <v>66</v>
      </c>
      <c r="B24" t="s">
        <v>67</v>
      </c>
      <c r="C24" s="10" t="s">
        <v>18</v>
      </c>
      <c r="D24" s="11">
        <v>43204</v>
      </c>
      <c r="E24" s="12">
        <v>87000</v>
      </c>
      <c r="F24" s="10" t="s">
        <v>10</v>
      </c>
      <c r="G24" s="10" t="s">
        <v>11</v>
      </c>
      <c r="H24" s="10">
        <f ca="1">DATEDIF(EmployeeTable[[#This Row],[Join Date]],TODAY(),"Y")</f>
        <v>8</v>
      </c>
      <c r="I24" s="10" t="str" cm="1">
        <f t="array" ref="I24">_xlfn.IFS(EmployeeTable[[#This Row],[Salary]]&gt;=85000,"High",EmployeeTable[[#This Row],[Salary]]&gt;=65000,"Medium",EmployeeTable[[#This Row],[Salary]]&lt;65000,"Low")</f>
        <v>High</v>
      </c>
    </row>
    <row r="25" spans="1:9" x14ac:dyDescent="0.3">
      <c r="A25" t="s">
        <v>68</v>
      </c>
      <c r="B25" t="s">
        <v>69</v>
      </c>
      <c r="C25" s="10" t="s">
        <v>14</v>
      </c>
      <c r="D25" s="11">
        <v>44748</v>
      </c>
      <c r="E25" s="12">
        <v>59000</v>
      </c>
      <c r="F25" s="10" t="s">
        <v>10</v>
      </c>
      <c r="G25" s="10" t="s">
        <v>21</v>
      </c>
      <c r="H25" s="10">
        <f ca="1">DATEDIF(EmployeeTable[[#This Row],[Join Date]],TODAY(),"Y")</f>
        <v>3</v>
      </c>
      <c r="I25" s="10" t="str" cm="1">
        <f t="array" ref="I25">_xlfn.IFS(EmployeeTable[[#This Row],[Salary]]&gt;=85000,"High",EmployeeTable[[#This Row],[Salary]]&gt;=65000,"Medium",EmployeeTable[[#This Row],[Salary]]&lt;65000,"Low")</f>
        <v>Low</v>
      </c>
    </row>
    <row r="26" spans="1:9" x14ac:dyDescent="0.3">
      <c r="A26" t="s">
        <v>70</v>
      </c>
      <c r="B26" t="s">
        <v>71</v>
      </c>
      <c r="C26" s="10" t="s">
        <v>24</v>
      </c>
      <c r="D26" s="11">
        <v>43757</v>
      </c>
      <c r="E26" s="12">
        <v>63000</v>
      </c>
      <c r="F26" s="10" t="s">
        <v>10</v>
      </c>
      <c r="G26" s="10" t="s">
        <v>26</v>
      </c>
      <c r="H26" s="10">
        <f ca="1">DATEDIF(EmployeeTable[[#This Row],[Join Date]],TODAY(),"Y")</f>
        <v>6</v>
      </c>
      <c r="I26" s="10" t="str" cm="1">
        <f t="array" ref="I26">_xlfn.IFS(EmployeeTable[[#This Row],[Salary]]&gt;=85000,"High",EmployeeTable[[#This Row],[Salary]]&gt;=65000,"Medium",EmployeeTable[[#This Row],[Salary]]&lt;65000,"Low")</f>
        <v>Low</v>
      </c>
    </row>
    <row r="27" spans="1:9" x14ac:dyDescent="0.3">
      <c r="A27" t="s">
        <v>72</v>
      </c>
      <c r="B27" t="s">
        <v>73</v>
      </c>
      <c r="C27" s="10" t="s">
        <v>9</v>
      </c>
      <c r="D27" s="11">
        <v>44176</v>
      </c>
      <c r="E27" s="12">
        <v>70000</v>
      </c>
      <c r="F27" s="10" t="s">
        <v>10</v>
      </c>
      <c r="G27" s="10" t="s">
        <v>11</v>
      </c>
      <c r="H27" s="10">
        <f ca="1">DATEDIF(EmployeeTable[[#This Row],[Join Date]],TODAY(),"Y")</f>
        <v>5</v>
      </c>
      <c r="I27" s="10" t="str" cm="1">
        <f t="array" ref="I27">_xlfn.IFS(EmployeeTable[[#This Row],[Salary]]&gt;=85000,"High",EmployeeTable[[#This Row],[Salary]]&gt;=65000,"Medium",EmployeeTable[[#This Row],[Salary]]&lt;65000,"Low")</f>
        <v>Medium</v>
      </c>
    </row>
    <row r="28" spans="1:9" x14ac:dyDescent="0.3">
      <c r="A28" t="s">
        <v>74</v>
      </c>
      <c r="B28" t="s">
        <v>75</v>
      </c>
      <c r="C28" s="10" t="s">
        <v>18</v>
      </c>
      <c r="D28" s="11">
        <v>42524</v>
      </c>
      <c r="E28" s="12">
        <v>91000</v>
      </c>
      <c r="F28" s="10" t="s">
        <v>10</v>
      </c>
      <c r="G28" s="10" t="s">
        <v>29</v>
      </c>
      <c r="H28" s="10">
        <f ca="1">DATEDIF(EmployeeTable[[#This Row],[Join Date]],TODAY(),"Y")</f>
        <v>9</v>
      </c>
      <c r="I28" s="10" t="str" cm="1">
        <f t="array" ref="I28">_xlfn.IFS(EmployeeTable[[#This Row],[Salary]]&gt;=85000,"High",EmployeeTable[[#This Row],[Salary]]&gt;=65000,"Medium",EmployeeTable[[#This Row],[Salary]]&lt;65000,"Low")</f>
        <v>High</v>
      </c>
    </row>
    <row r="29" spans="1:9" x14ac:dyDescent="0.3">
      <c r="A29" t="s">
        <v>76</v>
      </c>
      <c r="B29" t="s">
        <v>77</v>
      </c>
      <c r="C29" s="10" t="s">
        <v>42</v>
      </c>
      <c r="D29" s="11">
        <v>43365</v>
      </c>
      <c r="E29" s="12">
        <v>74000</v>
      </c>
      <c r="F29" s="10" t="s">
        <v>10</v>
      </c>
      <c r="G29" s="10" t="s">
        <v>34</v>
      </c>
      <c r="H29" s="10">
        <f ca="1">DATEDIF(EmployeeTable[[#This Row],[Join Date]],TODAY(),"Y")</f>
        <v>7</v>
      </c>
      <c r="I29" s="10" t="str" cm="1">
        <f t="array" ref="I29">_xlfn.IFS(EmployeeTable[[#This Row],[Salary]]&gt;=85000,"High",EmployeeTable[[#This Row],[Salary]]&gt;=65000,"Medium",EmployeeTable[[#This Row],[Salary]]&lt;65000,"Low")</f>
        <v>Medium</v>
      </c>
    </row>
    <row r="30" spans="1:9" x14ac:dyDescent="0.3">
      <c r="A30" t="s">
        <v>78</v>
      </c>
      <c r="B30" t="s">
        <v>79</v>
      </c>
      <c r="C30" s="10" t="s">
        <v>49</v>
      </c>
      <c r="D30" s="11">
        <v>44964</v>
      </c>
      <c r="E30" s="12">
        <v>66000</v>
      </c>
      <c r="F30" s="10" t="s">
        <v>10</v>
      </c>
      <c r="G30" s="10" t="s">
        <v>37</v>
      </c>
      <c r="H30" s="10">
        <f ca="1">DATEDIF(EmployeeTable[[#This Row],[Join Date]],TODAY(),"Y")</f>
        <v>3</v>
      </c>
      <c r="I30" s="10" t="str" cm="1">
        <f t="array" ref="I30">_xlfn.IFS(EmployeeTable[[#This Row],[Salary]]&gt;=85000,"High",EmployeeTable[[#This Row],[Salary]]&gt;=65000,"Medium",EmployeeTable[[#This Row],[Salary]]&lt;65000,"Low")</f>
        <v>Medium</v>
      </c>
    </row>
    <row r="31" spans="1:9" x14ac:dyDescent="0.3">
      <c r="A31" t="s">
        <v>80</v>
      </c>
      <c r="B31" t="s">
        <v>81</v>
      </c>
      <c r="C31" s="10" t="s">
        <v>14</v>
      </c>
      <c r="D31" s="11">
        <v>43054</v>
      </c>
      <c r="E31" s="12">
        <v>71000</v>
      </c>
      <c r="F31" s="10" t="s">
        <v>25</v>
      </c>
      <c r="G31" s="10" t="s">
        <v>11</v>
      </c>
      <c r="H31" s="10">
        <f ca="1">DATEDIF(EmployeeTable[[#This Row],[Join Date]],TODAY(),"Y")</f>
        <v>8</v>
      </c>
      <c r="I31" s="10" t="str" cm="1">
        <f t="array" ref="I31">_xlfn.IFS(EmployeeTable[[#This Row],[Salary]]&gt;=85000,"High",EmployeeTable[[#This Row],[Salary]]&gt;=65000,"Medium",EmployeeTable[[#This Row],[Salary]]&lt;65000,"Low")</f>
        <v>Medium</v>
      </c>
    </row>
    <row r="32" spans="1:9" x14ac:dyDescent="0.3">
      <c r="A32" t="s">
        <v>82</v>
      </c>
      <c r="B32" t="s">
        <v>83</v>
      </c>
      <c r="C32" s="10" t="s">
        <v>18</v>
      </c>
      <c r="D32" s="11">
        <v>43850</v>
      </c>
      <c r="E32" s="12">
        <v>86000</v>
      </c>
      <c r="F32" s="10" t="s">
        <v>10</v>
      </c>
      <c r="G32" s="10" t="s">
        <v>15</v>
      </c>
      <c r="H32" s="10">
        <f ca="1">DATEDIF(EmployeeTable[[#This Row],[Join Date]],TODAY(),"Y")</f>
        <v>6</v>
      </c>
      <c r="I32" s="10" t="str" cm="1">
        <f t="array" ref="I32">_xlfn.IFS(EmployeeTable[[#This Row],[Salary]]&gt;=85000,"High",EmployeeTable[[#This Row],[Salary]]&gt;=65000,"Medium",EmployeeTable[[#This Row],[Salary]]&lt;65000,"Low")</f>
        <v>High</v>
      </c>
    </row>
    <row r="33" spans="1:9" x14ac:dyDescent="0.3">
      <c r="A33" t="s">
        <v>84</v>
      </c>
      <c r="B33" t="s">
        <v>85</v>
      </c>
      <c r="C33" s="10" t="s">
        <v>9</v>
      </c>
      <c r="D33" s="11">
        <v>44416</v>
      </c>
      <c r="E33" s="12">
        <v>62000</v>
      </c>
      <c r="F33" s="10" t="s">
        <v>10</v>
      </c>
      <c r="G33" s="10" t="s">
        <v>21</v>
      </c>
      <c r="H33" s="10">
        <f ca="1">DATEDIF(EmployeeTable[[#This Row],[Join Date]],TODAY(),"Y")</f>
        <v>4</v>
      </c>
      <c r="I33" s="10" t="str" cm="1">
        <f t="array" ref="I33">_xlfn.IFS(EmployeeTable[[#This Row],[Salary]]&gt;=85000,"High",EmployeeTable[[#This Row],[Salary]]&gt;=65000,"Medium",EmployeeTable[[#This Row],[Salary]]&lt;65000,"Low")</f>
        <v>Low</v>
      </c>
    </row>
    <row r="34" spans="1:9" x14ac:dyDescent="0.3">
      <c r="A34" t="s">
        <v>86</v>
      </c>
      <c r="B34" t="s">
        <v>87</v>
      </c>
      <c r="C34" s="10" t="s">
        <v>24</v>
      </c>
      <c r="D34" s="11">
        <v>43176</v>
      </c>
      <c r="E34" s="12">
        <v>61000</v>
      </c>
      <c r="F34" s="10" t="s">
        <v>10</v>
      </c>
      <c r="G34" s="10" t="s">
        <v>11</v>
      </c>
      <c r="H34" s="10">
        <f ca="1">DATEDIF(EmployeeTable[[#This Row],[Join Date]],TODAY(),"Y")</f>
        <v>8</v>
      </c>
      <c r="I34" s="10" t="str" cm="1">
        <f t="array" ref="I34">_xlfn.IFS(EmployeeTable[[#This Row],[Salary]]&gt;=85000,"High",EmployeeTable[[#This Row],[Salary]]&gt;=65000,"Medium",EmployeeTable[[#This Row],[Salary]]&lt;65000,"Low")</f>
        <v>Low</v>
      </c>
    </row>
    <row r="35" spans="1:9" x14ac:dyDescent="0.3">
      <c r="A35" t="s">
        <v>88</v>
      </c>
      <c r="B35" t="s">
        <v>89</v>
      </c>
      <c r="C35" s="10" t="s">
        <v>42</v>
      </c>
      <c r="D35" s="11">
        <v>43642</v>
      </c>
      <c r="E35" s="12">
        <v>77000</v>
      </c>
      <c r="F35" s="10" t="s">
        <v>10</v>
      </c>
      <c r="G35" s="10" t="s">
        <v>29</v>
      </c>
      <c r="H35" s="10">
        <f ca="1">DATEDIF(EmployeeTable[[#This Row],[Join Date]],TODAY(),"Y")</f>
        <v>6</v>
      </c>
      <c r="I35" s="10" t="str" cm="1">
        <f t="array" ref="I35">_xlfn.IFS(EmployeeTable[[#This Row],[Salary]]&gt;=85000,"High",EmployeeTable[[#This Row],[Salary]]&gt;=65000,"Medium",EmployeeTable[[#This Row],[Salary]]&lt;65000,"Low")</f>
        <v>Medium</v>
      </c>
    </row>
    <row r="36" spans="1:9" x14ac:dyDescent="0.3">
      <c r="A36" t="s">
        <v>90</v>
      </c>
      <c r="B36" t="s">
        <v>91</v>
      </c>
      <c r="C36" s="10" t="s">
        <v>18</v>
      </c>
      <c r="D36" s="11">
        <v>42256</v>
      </c>
      <c r="E36" s="12">
        <v>97000</v>
      </c>
      <c r="F36" s="10" t="s">
        <v>10</v>
      </c>
      <c r="G36" s="10" t="s">
        <v>11</v>
      </c>
      <c r="H36" s="10">
        <f ca="1">DATEDIF(EmployeeTable[[#This Row],[Join Date]],TODAY(),"Y")</f>
        <v>10</v>
      </c>
      <c r="I36" s="10" t="str" cm="1">
        <f t="array" ref="I36">_xlfn.IFS(EmployeeTable[[#This Row],[Salary]]&gt;=85000,"High",EmployeeTable[[#This Row],[Salary]]&gt;=65000,"Medium",EmployeeTable[[#This Row],[Salary]]&lt;65000,"Low")</f>
        <v>High</v>
      </c>
    </row>
    <row r="37" spans="1:9" x14ac:dyDescent="0.3">
      <c r="A37" t="s">
        <v>92</v>
      </c>
      <c r="B37" t="s">
        <v>93</v>
      </c>
      <c r="C37" s="10" t="s">
        <v>14</v>
      </c>
      <c r="D37" s="11">
        <v>43873</v>
      </c>
      <c r="E37" s="12">
        <v>68000</v>
      </c>
      <c r="F37" s="10" t="s">
        <v>10</v>
      </c>
      <c r="G37" s="10" t="s">
        <v>15</v>
      </c>
      <c r="H37" s="10">
        <f ca="1">DATEDIF(EmployeeTable[[#This Row],[Join Date]],TODAY(),"Y")</f>
        <v>6</v>
      </c>
      <c r="I37" s="10" t="str" cm="1">
        <f t="array" ref="I37">_xlfn.IFS(EmployeeTable[[#This Row],[Salary]]&gt;=85000,"High",EmployeeTable[[#This Row],[Salary]]&gt;=65000,"Medium",EmployeeTable[[#This Row],[Salary]]&lt;65000,"Low")</f>
        <v>Medium</v>
      </c>
    </row>
    <row r="38" spans="1:9" x14ac:dyDescent="0.3">
      <c r="A38" t="s">
        <v>94</v>
      </c>
      <c r="B38" t="s">
        <v>95</v>
      </c>
      <c r="C38" s="10" t="s">
        <v>9</v>
      </c>
      <c r="D38" s="11">
        <v>42495</v>
      </c>
      <c r="E38" s="12">
        <v>64000</v>
      </c>
      <c r="F38" s="10" t="s">
        <v>10</v>
      </c>
      <c r="G38" s="10" t="s">
        <v>26</v>
      </c>
      <c r="H38" s="10">
        <f ca="1">DATEDIF(EmployeeTable[[#This Row],[Join Date]],TODAY(),"Y")</f>
        <v>9</v>
      </c>
      <c r="I38" s="10" t="str" cm="1">
        <f t="array" ref="I38">_xlfn.IFS(EmployeeTable[[#This Row],[Salary]]&gt;=85000,"High",EmployeeTable[[#This Row],[Salary]]&gt;=65000,"Medium",EmployeeTable[[#This Row],[Salary]]&lt;65000,"Low")</f>
        <v>Low</v>
      </c>
    </row>
    <row r="39" spans="1:9" x14ac:dyDescent="0.3">
      <c r="A39" t="s">
        <v>96</v>
      </c>
      <c r="B39" t="s">
        <v>97</v>
      </c>
      <c r="C39" s="10" t="s">
        <v>49</v>
      </c>
      <c r="D39" s="11">
        <v>44760</v>
      </c>
      <c r="E39" s="12">
        <v>65000</v>
      </c>
      <c r="F39" s="10" t="s">
        <v>10</v>
      </c>
      <c r="G39" s="10" t="s">
        <v>34</v>
      </c>
      <c r="H39" s="10">
        <f ca="1">DATEDIF(EmployeeTable[[#This Row],[Join Date]],TODAY(),"Y")</f>
        <v>3</v>
      </c>
      <c r="I39" s="10" t="str" cm="1">
        <f t="array" ref="I39">_xlfn.IFS(EmployeeTable[[#This Row],[Salary]]&gt;=85000,"High",EmployeeTable[[#This Row],[Salary]]&gt;=65000,"Medium",EmployeeTable[[#This Row],[Salary]]&lt;65000,"Low")</f>
        <v>Medium</v>
      </c>
    </row>
    <row r="40" spans="1:9" x14ac:dyDescent="0.3">
      <c r="A40" t="s">
        <v>98</v>
      </c>
      <c r="B40" t="s">
        <v>99</v>
      </c>
      <c r="C40" s="10" t="s">
        <v>24</v>
      </c>
      <c r="D40" s="11">
        <v>44524</v>
      </c>
      <c r="E40" s="12">
        <v>60000</v>
      </c>
      <c r="F40" s="10" t="s">
        <v>25</v>
      </c>
      <c r="G40" s="10" t="s">
        <v>11</v>
      </c>
      <c r="H40" s="10">
        <f ca="1">DATEDIF(EmployeeTable[[#This Row],[Join Date]],TODAY(),"Y")</f>
        <v>4</v>
      </c>
      <c r="I40" s="10" t="str" cm="1">
        <f t="array" ref="I40">_xlfn.IFS(EmployeeTable[[#This Row],[Salary]]&gt;=85000,"High",EmployeeTable[[#This Row],[Salary]]&gt;=65000,"Medium",EmployeeTable[[#This Row],[Salary]]&lt;65000,"Low")</f>
        <v>Low</v>
      </c>
    </row>
    <row r="41" spans="1:9" x14ac:dyDescent="0.3">
      <c r="A41" t="s">
        <v>100</v>
      </c>
      <c r="B41" t="s">
        <v>101</v>
      </c>
      <c r="C41" s="10" t="s">
        <v>42</v>
      </c>
      <c r="D41" s="11">
        <v>42807</v>
      </c>
      <c r="E41" s="12">
        <v>79000</v>
      </c>
      <c r="F41" s="10" t="s">
        <v>10</v>
      </c>
      <c r="G41" s="10" t="s">
        <v>21</v>
      </c>
      <c r="H41" s="10">
        <f ca="1">DATEDIF(EmployeeTable[[#This Row],[Join Date]],TODAY(),"Y")</f>
        <v>9</v>
      </c>
      <c r="I41" s="10" t="str" cm="1">
        <f t="array" ref="I41">_xlfn.IFS(EmployeeTable[[#This Row],[Salary]]&gt;=85000,"High",EmployeeTable[[#This Row],[Salary]]&gt;=65000,"Medium",EmployeeTable[[#This Row],[Salary]]&lt;65000,"Low")</f>
        <v>Medium</v>
      </c>
    </row>
    <row r="42" spans="1:9" x14ac:dyDescent="0.3">
      <c r="A42" t="s">
        <v>102</v>
      </c>
      <c r="B42" t="s">
        <v>103</v>
      </c>
      <c r="C42" s="10" t="s">
        <v>18</v>
      </c>
      <c r="D42" s="11">
        <v>43403</v>
      </c>
      <c r="E42" s="12">
        <v>89000</v>
      </c>
      <c r="F42" s="10" t="s">
        <v>10</v>
      </c>
      <c r="G42" s="10" t="s">
        <v>11</v>
      </c>
      <c r="H42" s="10">
        <f ca="1">DATEDIF(EmployeeTable[[#This Row],[Join Date]],TODAY(),"Y")</f>
        <v>7</v>
      </c>
      <c r="I42" s="10" t="str" cm="1">
        <f t="array" ref="I42">_xlfn.IFS(EmployeeTable[[#This Row],[Salary]]&gt;=85000,"High",EmployeeTable[[#This Row],[Salary]]&gt;=65000,"Medium",EmployeeTable[[#This Row],[Salary]]&lt;65000,"Low")</f>
        <v>High</v>
      </c>
    </row>
    <row r="43" spans="1:9" x14ac:dyDescent="0.3">
      <c r="A43" t="s">
        <v>104</v>
      </c>
      <c r="B43" t="s">
        <v>105</v>
      </c>
      <c r="C43" s="10" t="s">
        <v>14</v>
      </c>
      <c r="D43" s="11">
        <v>43576</v>
      </c>
      <c r="E43" s="12">
        <v>66000</v>
      </c>
      <c r="F43" s="10" t="s">
        <v>10</v>
      </c>
      <c r="G43" s="10" t="s">
        <v>29</v>
      </c>
      <c r="H43" s="10">
        <f ca="1">DATEDIF(EmployeeTable[[#This Row],[Join Date]],TODAY(),"Y")</f>
        <v>7</v>
      </c>
      <c r="I43" s="10" t="str" cm="1">
        <f t="array" ref="I43">_xlfn.IFS(EmployeeTable[[#This Row],[Salary]]&gt;=85000,"High",EmployeeTable[[#This Row],[Salary]]&gt;=65000,"Medium",EmployeeTable[[#This Row],[Salary]]&lt;65000,"Low")</f>
        <v>Medium</v>
      </c>
    </row>
    <row r="44" spans="1:9" x14ac:dyDescent="0.3">
      <c r="A44" t="s">
        <v>106</v>
      </c>
      <c r="B44" t="s">
        <v>107</v>
      </c>
      <c r="C44" s="10" t="s">
        <v>9</v>
      </c>
      <c r="D44" s="11">
        <v>43988</v>
      </c>
      <c r="E44" s="12">
        <v>72000</v>
      </c>
      <c r="F44" s="10" t="s">
        <v>10</v>
      </c>
      <c r="G44" s="10" t="s">
        <v>15</v>
      </c>
      <c r="H44" s="10">
        <f ca="1">DATEDIF(EmployeeTable[[#This Row],[Join Date]],TODAY(),"Y")</f>
        <v>5</v>
      </c>
      <c r="I44" s="10" t="str" cm="1">
        <f t="array" ref="I44">_xlfn.IFS(EmployeeTable[[#This Row],[Salary]]&gt;=85000,"High",EmployeeTable[[#This Row],[Salary]]&gt;=65000,"Medium",EmployeeTable[[#This Row],[Salary]]&lt;65000,"Low")</f>
        <v>Medium</v>
      </c>
    </row>
    <row r="45" spans="1:9" x14ac:dyDescent="0.3">
      <c r="A45" t="s">
        <v>108</v>
      </c>
      <c r="B45" t="s">
        <v>109</v>
      </c>
      <c r="C45" s="10" t="s">
        <v>49</v>
      </c>
      <c r="D45" s="11">
        <v>44224</v>
      </c>
      <c r="E45" s="12">
        <v>70000</v>
      </c>
      <c r="F45" s="10" t="s">
        <v>10</v>
      </c>
      <c r="G45" s="10" t="s">
        <v>11</v>
      </c>
      <c r="H45" s="10">
        <f ca="1">DATEDIF(EmployeeTable[[#This Row],[Join Date]],TODAY(),"Y")</f>
        <v>5</v>
      </c>
      <c r="I45" s="10" t="str" cm="1">
        <f t="array" ref="I45">_xlfn.IFS(EmployeeTable[[#This Row],[Salary]]&gt;=85000,"High",EmployeeTable[[#This Row],[Salary]]&gt;=65000,"Medium",EmployeeTable[[#This Row],[Salary]]&lt;65000,"Low")</f>
        <v>Medium</v>
      </c>
    </row>
    <row r="46" spans="1:9" x14ac:dyDescent="0.3">
      <c r="A46" t="s">
        <v>110</v>
      </c>
      <c r="B46" t="s">
        <v>111</v>
      </c>
      <c r="C46" s="10" t="s">
        <v>24</v>
      </c>
      <c r="D46" s="11">
        <v>42629</v>
      </c>
      <c r="E46" s="12">
        <v>65000</v>
      </c>
      <c r="F46" s="10" t="s">
        <v>10</v>
      </c>
      <c r="G46" s="10" t="s">
        <v>26</v>
      </c>
      <c r="H46" s="10">
        <f ca="1">DATEDIF(EmployeeTable[[#This Row],[Join Date]],TODAY(),"Y")</f>
        <v>9</v>
      </c>
      <c r="I46" s="10" t="str" cm="1">
        <f t="array" ref="I46">_xlfn.IFS(EmployeeTable[[#This Row],[Salary]]&gt;=85000,"High",EmployeeTable[[#This Row],[Salary]]&gt;=65000,"Medium",EmployeeTable[[#This Row],[Salary]]&lt;65000,"Low")</f>
        <v>Medium</v>
      </c>
    </row>
    <row r="47" spans="1:9" x14ac:dyDescent="0.3">
      <c r="A47" t="s">
        <v>112</v>
      </c>
      <c r="B47" t="s">
        <v>113</v>
      </c>
      <c r="C47" s="10" t="s">
        <v>42</v>
      </c>
      <c r="D47" s="11">
        <v>44899</v>
      </c>
      <c r="E47" s="12">
        <v>75000</v>
      </c>
      <c r="F47" s="10" t="s">
        <v>10</v>
      </c>
      <c r="G47" s="10" t="s">
        <v>37</v>
      </c>
      <c r="H47" s="10">
        <f ca="1">DATEDIF(EmployeeTable[[#This Row],[Join Date]],TODAY(),"Y")</f>
        <v>3</v>
      </c>
      <c r="I47" s="10" t="str" cm="1">
        <f t="array" ref="I47">_xlfn.IFS(EmployeeTable[[#This Row],[Salary]]&gt;=85000,"High",EmployeeTable[[#This Row],[Salary]]&gt;=65000,"Medium",EmployeeTable[[#This Row],[Salary]]&lt;65000,"Low")</f>
        <v>Medium</v>
      </c>
    </row>
    <row r="48" spans="1:9" x14ac:dyDescent="0.3">
      <c r="A48" t="s">
        <v>114</v>
      </c>
      <c r="B48" t="s">
        <v>115</v>
      </c>
      <c r="C48" s="10" t="s">
        <v>18</v>
      </c>
      <c r="D48" s="11">
        <v>42926</v>
      </c>
      <c r="E48" s="12">
        <v>90000</v>
      </c>
      <c r="F48" s="10" t="s">
        <v>10</v>
      </c>
      <c r="G48" s="10" t="s">
        <v>11</v>
      </c>
      <c r="H48" s="10">
        <f ca="1">DATEDIF(EmployeeTable[[#This Row],[Join Date]],TODAY(),"Y")</f>
        <v>8</v>
      </c>
      <c r="I48" s="10" t="str" cm="1">
        <f t="array" ref="I48">_xlfn.IFS(EmployeeTable[[#This Row],[Salary]]&gt;=85000,"High",EmployeeTable[[#This Row],[Salary]]&gt;=65000,"Medium",EmployeeTable[[#This Row],[Salary]]&lt;65000,"Low")</f>
        <v>High</v>
      </c>
    </row>
    <row r="49" spans="1:9" x14ac:dyDescent="0.3">
      <c r="A49" t="s">
        <v>116</v>
      </c>
      <c r="B49" t="s">
        <v>117</v>
      </c>
      <c r="C49" s="10" t="s">
        <v>14</v>
      </c>
      <c r="D49" s="11">
        <v>43239</v>
      </c>
      <c r="E49" s="12">
        <v>69000</v>
      </c>
      <c r="F49" s="10" t="s">
        <v>10</v>
      </c>
      <c r="G49" s="10" t="s">
        <v>34</v>
      </c>
      <c r="H49" s="10">
        <f ca="1">DATEDIF(EmployeeTable[[#This Row],[Join Date]],TODAY(),"Y")</f>
        <v>7</v>
      </c>
      <c r="I49" s="10" t="str" cm="1">
        <f t="array" ref="I49">_xlfn.IFS(EmployeeTable[[#This Row],[Salary]]&gt;=85000,"High",EmployeeTable[[#This Row],[Salary]]&gt;=65000,"Medium",EmployeeTable[[#This Row],[Salary]]&lt;65000,"Low")</f>
        <v>Medium</v>
      </c>
    </row>
    <row r="50" spans="1:9" x14ac:dyDescent="0.3">
      <c r="A50" t="s">
        <v>118</v>
      </c>
      <c r="B50" t="s">
        <v>119</v>
      </c>
      <c r="C50" s="10" t="s">
        <v>9</v>
      </c>
      <c r="D50" s="11">
        <v>44984</v>
      </c>
      <c r="E50" s="12">
        <v>61000</v>
      </c>
      <c r="F50" s="10" t="s">
        <v>10</v>
      </c>
      <c r="G50" s="10" t="s">
        <v>29</v>
      </c>
      <c r="H50" s="10">
        <f ca="1">DATEDIF(EmployeeTable[[#This Row],[Join Date]],TODAY(),"Y")</f>
        <v>3</v>
      </c>
      <c r="I50" s="10" t="str" cm="1">
        <f t="array" ref="I50">_xlfn.IFS(EmployeeTable[[#This Row],[Salary]]&gt;=85000,"High",EmployeeTable[[#This Row],[Salary]]&gt;=65000,"Medium",EmployeeTable[[#This Row],[Salary]]&lt;65000,"Low")</f>
        <v>Low</v>
      </c>
    </row>
    <row r="51" spans="1:9" x14ac:dyDescent="0.3">
      <c r="A51" t="s">
        <v>120</v>
      </c>
      <c r="B51" t="s">
        <v>121</v>
      </c>
      <c r="C51" s="10" t="s">
        <v>24</v>
      </c>
      <c r="D51" s="11">
        <v>43685</v>
      </c>
      <c r="E51" s="12">
        <v>62000</v>
      </c>
      <c r="F51" s="10" t="s">
        <v>10</v>
      </c>
      <c r="G51" s="10" t="s">
        <v>11</v>
      </c>
      <c r="H51" s="10">
        <f ca="1">DATEDIF(EmployeeTable[[#This Row],[Join Date]],TODAY(),"Y")</f>
        <v>6</v>
      </c>
      <c r="I51" s="10" t="str" cm="1">
        <f t="array" ref="I51">_xlfn.IFS(EmployeeTable[[#This Row],[Salary]]&gt;=85000,"High",EmployeeTable[[#This Row],[Salary]]&gt;=65000,"Medium",EmployeeTable[[#This Row],[Salary]]&lt;65000,"Low")</f>
        <v>Low</v>
      </c>
    </row>
  </sheetData>
  <conditionalFormatting sqref="I2:I51">
    <cfRule type="containsText" dxfId="4" priority="4" operator="containsText" text="Low">
      <formula>NOT(ISERROR(SEARCH("Low",I2)))</formula>
    </cfRule>
    <cfRule type="containsText" dxfId="3" priority="5" operator="containsText" text="High">
      <formula>NOT(ISERROR(SEARCH("High",I2)))</formula>
    </cfRule>
  </conditionalFormatting>
  <conditionalFormatting sqref="I1:I1048576">
    <cfRule type="containsText" dxfId="2" priority="3" operator="containsText" text="medium">
      <formula>NOT(ISERROR(SEARCH("medium",I1)))</formula>
    </cfRule>
  </conditionalFormatting>
  <conditionalFormatting sqref="F1:F1048576">
    <cfRule type="containsText" dxfId="1" priority="1" operator="containsText" text="Inactive">
      <formula>NOT(ISERROR(SEARCH("Inactive",F1)))</formula>
    </cfRule>
    <cfRule type="containsText" dxfId="0" priority="2" operator="containsText" text="Active">
      <formula>NOT(ISERROR(SEARCH("Active",F1)))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1A54-1BB4-48C9-9B44-3C6CD1204990}">
  <dimension ref="A1:I3"/>
  <sheetViews>
    <sheetView topLeftCell="A6" workbookViewId="0">
      <selection activeCell="H14" sqref="H14"/>
    </sheetView>
  </sheetViews>
  <sheetFormatPr defaultRowHeight="14.4" x14ac:dyDescent="0.3"/>
  <cols>
    <col min="1" max="1" width="9.6640625" bestFit="1" customWidth="1"/>
    <col min="2" max="2" width="13.33203125" bestFit="1" customWidth="1"/>
    <col min="3" max="3" width="9.77734375" style="1" bestFit="1" customWidth="1"/>
    <col min="4" max="4" width="11.6640625" style="1" customWidth="1"/>
    <col min="5" max="5" width="11.21875" style="6" bestFit="1" customWidth="1"/>
    <col min="6" max="6" width="6.6640625" bestFit="1" customWidth="1"/>
    <col min="7" max="7" width="7.88671875" bestFit="1" customWidth="1"/>
    <col min="8" max="8" width="10.77734375" bestFit="1" customWidth="1"/>
    <col min="9" max="9" width="12.33203125" bestFit="1" customWidth="1"/>
  </cols>
  <sheetData>
    <row r="1" spans="1:9" ht="15.6" x14ac:dyDescent="0.3">
      <c r="A1" s="7" t="s">
        <v>124</v>
      </c>
      <c r="B1" s="7" t="s">
        <v>1</v>
      </c>
      <c r="C1" s="8" t="s">
        <v>2</v>
      </c>
      <c r="D1" s="8" t="s">
        <v>3</v>
      </c>
      <c r="E1" s="9" t="s">
        <v>4</v>
      </c>
      <c r="F1" s="7" t="s">
        <v>5</v>
      </c>
      <c r="G1" s="7" t="s">
        <v>6</v>
      </c>
      <c r="H1" s="7" t="s">
        <v>122</v>
      </c>
      <c r="I1" s="7" t="s">
        <v>123</v>
      </c>
    </row>
    <row r="2" spans="1:9" x14ac:dyDescent="0.3">
      <c r="C2"/>
      <c r="D2"/>
      <c r="E2"/>
    </row>
    <row r="3" spans="1:9" x14ac:dyDescent="0.3">
      <c r="A3" s="23" t="s">
        <v>120</v>
      </c>
      <c r="B3" s="23" t="str">
        <f>_xlfn.XLOOKUP(A3,EmployeeTable[Emp ID],EmployeeTable[Full Name],"Not found")</f>
        <v>Morshed Alam</v>
      </c>
      <c r="C3" s="24" t="str">
        <f>_xlfn.XLOOKUP(A3,EmployeeTable[Emp ID],EmployeeTable[Dept])</f>
        <v>Production</v>
      </c>
      <c r="D3" s="24">
        <f>_xlfn.XLOOKUP(A3,EmployeeTable[Emp ID],EmployeeTable[Join Date])</f>
        <v>43685</v>
      </c>
      <c r="E3" s="25">
        <f>_xlfn.XLOOKUP(A3,EmployeeTable[Emp ID],EmployeeTable[Salary])</f>
        <v>62000</v>
      </c>
      <c r="F3" s="23" t="str">
        <f>_xlfn.XLOOKUP(A3,EmployeeTable[Emp ID],EmployeeTable[Status])</f>
        <v>Active</v>
      </c>
      <c r="G3" s="23" t="str">
        <f>_xlfn.XLOOKUP(A3,EmployeeTable[Emp ID],EmployeeTable[City])</f>
        <v>Dhaka</v>
      </c>
      <c r="H3" s="23">
        <f ca="1">_xlfn.XLOOKUP(A3,EmployeeTable[Emp ID],EmployeeTable[Experience])</f>
        <v>6</v>
      </c>
      <c r="I3" s="23" t="str">
        <f>_xlfn.XLOOKUP(A3,EmployeeTable[Emp ID],EmployeeTable[Salary Grade])</f>
        <v>Low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FC89-165B-4B68-A80F-472530E6A50D}">
  <dimension ref="A1:B7"/>
  <sheetViews>
    <sheetView workbookViewId="0">
      <selection activeCell="F7" sqref="F7"/>
    </sheetView>
  </sheetViews>
  <sheetFormatPr defaultRowHeight="14.4" x14ac:dyDescent="0.3"/>
  <cols>
    <col min="1" max="1" width="15" customWidth="1"/>
    <col min="2" max="2" width="15.5546875" customWidth="1"/>
  </cols>
  <sheetData>
    <row r="1" spans="1:2" x14ac:dyDescent="0.3">
      <c r="A1" s="3" t="s">
        <v>125</v>
      </c>
      <c r="B1" s="3" t="s">
        <v>127</v>
      </c>
    </row>
    <row r="2" spans="1:2" x14ac:dyDescent="0.3">
      <c r="A2" s="20" t="s">
        <v>126</v>
      </c>
      <c r="B2" s="20">
        <f>COUNTA(EmployeeTable[Emp ID])</f>
        <v>50</v>
      </c>
    </row>
    <row r="3" spans="1:2" x14ac:dyDescent="0.3">
      <c r="A3" s="20" t="s">
        <v>128</v>
      </c>
      <c r="B3" s="20">
        <f>COUNTIF(EmployeeTable[Status],"Active")</f>
        <v>45</v>
      </c>
    </row>
    <row r="4" spans="1:2" x14ac:dyDescent="0.3">
      <c r="A4" s="20" t="s">
        <v>129</v>
      </c>
      <c r="B4" s="20">
        <f>COUNTIF(EmployeeTable[Dept],"IT")</f>
        <v>11</v>
      </c>
    </row>
    <row r="5" spans="1:2" x14ac:dyDescent="0.3">
      <c r="A5" s="20" t="s">
        <v>130</v>
      </c>
      <c r="B5" s="21">
        <f>SUM(EmployeeTable[Salary])</f>
        <v>3608000</v>
      </c>
    </row>
    <row r="6" spans="1:2" x14ac:dyDescent="0.3">
      <c r="A6" s="20" t="s">
        <v>131</v>
      </c>
      <c r="B6" s="22">
        <f>AVERAGE(EmployeeTable[Salary])</f>
        <v>72160</v>
      </c>
    </row>
    <row r="7" spans="1:2" x14ac:dyDescent="0.3">
      <c r="A7" s="20" t="s">
        <v>132</v>
      </c>
      <c r="B7" s="22">
        <f>MAX(EmployeeTable[Salary])</f>
        <v>97000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24060-C9FB-4788-93D1-A5BD14577F59}">
  <dimension ref="A3:B30"/>
  <sheetViews>
    <sheetView topLeftCell="A19" workbookViewId="0">
      <selection activeCell="J27" sqref="J27"/>
    </sheetView>
  </sheetViews>
  <sheetFormatPr defaultRowHeight="14.4" x14ac:dyDescent="0.3"/>
  <cols>
    <col min="1" max="1" width="9.77734375" bestFit="1" customWidth="1"/>
    <col min="2" max="2" width="16.6640625" bestFit="1" customWidth="1"/>
  </cols>
  <sheetData>
    <row r="3" spans="1:2" x14ac:dyDescent="0.3">
      <c r="A3" s="13" t="s">
        <v>2</v>
      </c>
      <c r="B3" t="s">
        <v>133</v>
      </c>
    </row>
    <row r="4" spans="1:2" x14ac:dyDescent="0.3">
      <c r="A4" s="16" t="s">
        <v>42</v>
      </c>
      <c r="B4" s="17">
        <v>7</v>
      </c>
    </row>
    <row r="5" spans="1:2" x14ac:dyDescent="0.3">
      <c r="A5" s="16" t="s">
        <v>14</v>
      </c>
      <c r="B5" s="17">
        <v>9</v>
      </c>
    </row>
    <row r="6" spans="1:2" x14ac:dyDescent="0.3">
      <c r="A6" s="16" t="s">
        <v>18</v>
      </c>
      <c r="B6" s="17">
        <v>11</v>
      </c>
    </row>
    <row r="7" spans="1:2" x14ac:dyDescent="0.3">
      <c r="A7" s="16" t="s">
        <v>49</v>
      </c>
      <c r="B7" s="17">
        <v>5</v>
      </c>
    </row>
    <row r="8" spans="1:2" x14ac:dyDescent="0.3">
      <c r="A8" s="16" t="s">
        <v>24</v>
      </c>
      <c r="B8" s="17">
        <v>8</v>
      </c>
    </row>
    <row r="9" spans="1:2" x14ac:dyDescent="0.3">
      <c r="A9" s="16" t="s">
        <v>9</v>
      </c>
      <c r="B9" s="17">
        <v>10</v>
      </c>
    </row>
    <row r="17" spans="1:2" x14ac:dyDescent="0.3">
      <c r="A17" s="14" t="s">
        <v>2</v>
      </c>
      <c r="B17" s="14" t="s">
        <v>131</v>
      </c>
    </row>
    <row r="18" spans="1:2" x14ac:dyDescent="0.3">
      <c r="A18" s="18" t="s">
        <v>42</v>
      </c>
      <c r="B18" s="19">
        <f>AVERAGEIF(EmployeeTable[Dept],A18,EmployeeTable[Salary])</f>
        <v>76000</v>
      </c>
    </row>
    <row r="19" spans="1:2" x14ac:dyDescent="0.3">
      <c r="A19" s="18" t="s">
        <v>14</v>
      </c>
      <c r="B19" s="19">
        <f>AVERAGEIF(EmployeeTable[Dept],A19,EmployeeTable[Salary])</f>
        <v>66666.666666666672</v>
      </c>
    </row>
    <row r="20" spans="1:2" x14ac:dyDescent="0.3">
      <c r="A20" s="18" t="s">
        <v>18</v>
      </c>
      <c r="B20" s="19">
        <f>AVERAGEIF(EmployeeTable[Dept],A20,EmployeeTable[Salary])</f>
        <v>89363.636363636368</v>
      </c>
    </row>
    <row r="21" spans="1:2" x14ac:dyDescent="0.3">
      <c r="A21" s="18" t="s">
        <v>49</v>
      </c>
      <c r="B21" s="19">
        <f>AVERAGEIF(EmployeeTable[Dept],A21,EmployeeTable[Salary])</f>
        <v>68400</v>
      </c>
    </row>
    <row r="22" spans="1:2" x14ac:dyDescent="0.3">
      <c r="A22" s="18" t="s">
        <v>24</v>
      </c>
      <c r="B22" s="19">
        <f>AVERAGEIF(EmployeeTable[Dept],A22,EmployeeTable[Salary])</f>
        <v>61500</v>
      </c>
    </row>
    <row r="23" spans="1:2" x14ac:dyDescent="0.3">
      <c r="A23" s="18" t="s">
        <v>9</v>
      </c>
      <c r="B23" s="19">
        <f>AVERAGEIF(EmployeeTable[Dept],A23,EmployeeTable[Salary])</f>
        <v>65900</v>
      </c>
    </row>
    <row r="28" spans="1:2" x14ac:dyDescent="0.3">
      <c r="A28" s="15" t="s">
        <v>5</v>
      </c>
      <c r="B28" s="15" t="s">
        <v>134</v>
      </c>
    </row>
    <row r="29" spans="1:2" x14ac:dyDescent="0.3">
      <c r="A29" s="16" t="s">
        <v>10</v>
      </c>
      <c r="B29" s="16">
        <f>COUNTIF(EmployeeTable[Status],A29)</f>
        <v>45</v>
      </c>
    </row>
    <row r="30" spans="1:2" x14ac:dyDescent="0.3">
      <c r="A30" s="16" t="s">
        <v>25</v>
      </c>
      <c r="B30" s="16">
        <f>COUNTIF(EmployeeTable[Status],A30)</f>
        <v>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E948A0D1102C4784DD4282073F1AC6" ma:contentTypeVersion="4" ma:contentTypeDescription="Create a new document." ma:contentTypeScope="" ma:versionID="27730346cf55444fc4c6c6d3163d9d7e">
  <xsd:schema xmlns:xsd="http://www.w3.org/2001/XMLSchema" xmlns:xs="http://www.w3.org/2001/XMLSchema" xmlns:p="http://schemas.microsoft.com/office/2006/metadata/properties" xmlns:ns3="eb631929-02b3-45f1-a696-5a741bdb5f4b" targetNamespace="http://schemas.microsoft.com/office/2006/metadata/properties" ma:root="true" ma:fieldsID="e571d71802609f94b1dc68e7d4781d6f" ns3:_="">
    <xsd:import namespace="eb631929-02b3-45f1-a696-5a741bdb5f4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31929-02b3-45f1-a696-5a741bdb5f4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4684BB-1056-4C1D-9F5A-D670BCE44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631929-02b3-45f1-a696-5a741bdb5f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3FFC10-8CE4-4107-850C-3F47BF5B71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EC0D7E-FD07-42C1-9D3E-85E622090ED2}">
  <ds:schemaRefs>
    <ds:schemaRef ds:uri="http://purl.org/dc/elements/1.1/"/>
    <ds:schemaRef ds:uri="http://schemas.openxmlformats.org/package/2006/metadata/core-properties"/>
    <ds:schemaRef ds:uri="eb631929-02b3-45f1-a696-5a741bdb5f4b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Employee_Data</vt:lpstr>
      <vt:lpstr>Lookup_System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CS-D-93-23-125346</dc:creator>
  <cp:lastModifiedBy>CS-D-93-23-125346</cp:lastModifiedBy>
  <dcterms:created xsi:type="dcterms:W3CDTF">2026-05-02T14:21:28Z</dcterms:created>
  <dcterms:modified xsi:type="dcterms:W3CDTF">2026-05-02T16:20:58Z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0x01010068E948A0D1102C4784DD4282073F1AC6</vt:lpwstr>
  </property>
</Properties>
</file>